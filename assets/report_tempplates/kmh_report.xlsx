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ЭтаКнига"/>
  <bookViews>
    <workbookView windowHeight="19530"/>
  </bookViews>
  <sheets>
    <sheet name="Протокол КМХ" sheetId="9" r:id="rId1"/>
  </sheets>
  <definedNames>
    <definedName name="_xlnm.Print_Area" localSheetId="0">'Протокол КМХ'!$A$1:$M$85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<sst xmlns="http://schemas.openxmlformats.org/spreadsheetml/2006/main" count="138" uniqueCount="105">
  <si>
    <t>Протокол КМХ</t>
  </si>
  <si>
    <t>ИС массы НП в резервуаре</t>
  </si>
  <si>
    <t>Дата:</t>
  </si>
  <si>
    <t>Время</t>
  </si>
  <si>
    <t xml:space="preserve">Номер резервуара: </t>
  </si>
  <si>
    <t>элект.р.</t>
  </si>
  <si>
    <t>Наименование системы:</t>
  </si>
  <si>
    <t>Tank Gauging</t>
  </si>
  <si>
    <t xml:space="preserve"> зав.№</t>
  </si>
  <si>
    <t>Марка НП:</t>
  </si>
  <si>
    <t>ДТ</t>
  </si>
  <si>
    <t xml:space="preserve">Средства измерения: </t>
  </si>
  <si>
    <t>1. Рулетка измерительная РНГ Р20Н2Г № 11050 поверка до 14.02.2024</t>
  </si>
  <si>
    <t xml:space="preserve">2. Плотномер ПЛОТ-3Б-1П № 0121020, поверка действительна до 22.09.2024г.,  </t>
  </si>
  <si>
    <t>Условия проведения КМХ:</t>
  </si>
  <si>
    <t>Соответствует:</t>
  </si>
  <si>
    <t xml:space="preserve">– температура окружающего воздуха: </t>
  </si>
  <si>
    <t>⁰C</t>
  </si>
  <si>
    <t>– атмосферное давление:</t>
  </si>
  <si>
    <t>кПа</t>
  </si>
  <si>
    <t>– скорость ветра:</t>
  </si>
  <si>
    <t>м/с</t>
  </si>
  <si>
    <t>Результаты КМХ:</t>
  </si>
  <si>
    <t>Бензин АИ-95</t>
  </si>
  <si>
    <t>Определение метрологических характеристик:</t>
  </si>
  <si>
    <t>1. КМХ измерительных каналов уровня</t>
  </si>
  <si>
    <t>АИ-100</t>
  </si>
  <si>
    <t>Класс измерительной рулетки</t>
  </si>
  <si>
    <t>АИ-98</t>
  </si>
  <si>
    <t>Температурный коэффициент линейного расширения материала рулетки измерительной</t>
  </si>
  <si>
    <r>
      <rPr>
        <sz val="8"/>
        <rFont val="Arial"/>
        <charset val="204"/>
      </rPr>
      <t>α</t>
    </r>
    <r>
      <rPr>
        <vertAlign val="subscript"/>
        <sz val="8"/>
        <rFont val="Arial"/>
        <charset val="204"/>
      </rPr>
      <t>S</t>
    </r>
    <r>
      <rPr>
        <sz val="8"/>
        <rFont val="Arial"/>
        <charset val="204"/>
      </rPr>
      <t>(1/°С)=</t>
    </r>
  </si>
  <si>
    <t>Температурный коэффициент линейного расширения материала стенки резервуара</t>
  </si>
  <si>
    <r>
      <rPr>
        <sz val="8"/>
        <rFont val="Arial"/>
        <charset val="204"/>
      </rPr>
      <t>α</t>
    </r>
    <r>
      <rPr>
        <vertAlign val="subscript"/>
        <sz val="8"/>
        <rFont val="Arial"/>
        <charset val="204"/>
      </rPr>
      <t>СТ</t>
    </r>
    <r>
      <rPr>
        <sz val="8"/>
        <rFont val="Arial"/>
        <charset val="204"/>
      </rPr>
      <t>(1/°С)=</t>
    </r>
  </si>
  <si>
    <t>Базовая высота резервуара по градуировочной таблице</t>
  </si>
  <si>
    <r>
      <rPr>
        <sz val="8"/>
        <rFont val="Arial"/>
        <charset val="204"/>
      </rPr>
      <t>Н</t>
    </r>
    <r>
      <rPr>
        <vertAlign val="subscript"/>
        <sz val="8"/>
        <rFont val="Arial"/>
        <charset val="204"/>
      </rPr>
      <t>Б</t>
    </r>
    <r>
      <rPr>
        <sz val="8"/>
        <rFont val="Arial"/>
        <charset val="204"/>
      </rPr>
      <t>(мм)=</t>
    </r>
  </si>
  <si>
    <t>Температура воздуха при поверке резервуара</t>
  </si>
  <si>
    <r>
      <rPr>
        <sz val="8"/>
        <rFont val="Arial"/>
        <charset val="204"/>
      </rPr>
      <t>t</t>
    </r>
    <r>
      <rPr>
        <vertAlign val="subscript"/>
        <sz val="8"/>
        <rFont val="Arial"/>
        <charset val="204"/>
      </rPr>
      <t>в</t>
    </r>
    <r>
      <rPr>
        <sz val="8"/>
        <rFont val="Arial"/>
        <charset val="204"/>
      </rPr>
      <t>(°C)=</t>
    </r>
  </si>
  <si>
    <t>Первичные показания контрольных СИ, мм</t>
  </si>
  <si>
    <t>Верхний отсчет, Нв</t>
  </si>
  <si>
    <t>Нижний отсчет, Нн</t>
  </si>
  <si>
    <t>Высота газового пространсва, Нв-Нн, мм</t>
  </si>
  <si>
    <t>№</t>
  </si>
  <si>
    <t>Показания ИС, H, мм</t>
  </si>
  <si>
    <r>
      <rPr>
        <sz val="8"/>
        <color theme="1"/>
        <rFont val="Arial"/>
        <charset val="204"/>
      </rPr>
      <t>Температура паров в резервуаре, t</t>
    </r>
    <r>
      <rPr>
        <vertAlign val="subscript"/>
        <sz val="8"/>
        <color theme="1"/>
        <rFont val="Arial"/>
        <charset val="204"/>
      </rPr>
      <t>A</t>
    </r>
    <r>
      <rPr>
        <sz val="8"/>
        <color theme="1"/>
        <rFont val="Arial"/>
        <charset val="204"/>
      </rPr>
      <t>, °С</t>
    </r>
  </si>
  <si>
    <r>
      <rPr>
        <sz val="8"/>
        <color theme="1"/>
        <rFont val="Arial"/>
        <charset val="204"/>
      </rPr>
      <t>Уровень НП в резервуаре, H</t>
    </r>
    <r>
      <rPr>
        <vertAlign val="subscript"/>
        <sz val="8"/>
        <color theme="1"/>
        <rFont val="Arial"/>
        <charset val="204"/>
      </rPr>
      <t>0</t>
    </r>
    <r>
      <rPr>
        <sz val="8"/>
        <color theme="1"/>
        <rFont val="Arial"/>
        <charset val="204"/>
      </rPr>
      <t>, мм</t>
    </r>
  </si>
  <si>
    <r>
      <rPr>
        <sz val="8"/>
        <color theme="1"/>
        <rFont val="Arial"/>
        <charset val="204"/>
      </rPr>
      <t>Н-H</t>
    </r>
    <r>
      <rPr>
        <vertAlign val="subscript"/>
        <sz val="8"/>
        <color theme="1"/>
        <rFont val="Arial"/>
        <charset val="204"/>
      </rPr>
      <t>0</t>
    </r>
  </si>
  <si>
    <r>
      <rPr>
        <sz val="8"/>
        <rFont val="Arial"/>
        <charset val="204"/>
      </rPr>
      <t>ΔH</t>
    </r>
    <r>
      <rPr>
        <vertAlign val="subscript"/>
        <sz val="8"/>
        <rFont val="Arial"/>
        <charset val="204"/>
      </rPr>
      <t>М</t>
    </r>
  </si>
  <si>
    <t xml:space="preserve"> Предел допустимой абс.
Погрешности ИС
 ΔH,мм</t>
  </si>
  <si>
    <r>
      <rPr>
        <sz val="8"/>
        <rFont val="Arial"/>
        <charset val="204"/>
      </rPr>
      <t>Предел допустимой абс.
погрешности контрольного СИ ΔH</t>
    </r>
    <r>
      <rPr>
        <vertAlign val="subscript"/>
        <sz val="8"/>
        <rFont val="Arial"/>
        <charset val="204"/>
      </rPr>
      <t>0</t>
    </r>
    <r>
      <rPr>
        <sz val="8"/>
        <rFont val="Arial"/>
        <charset val="204"/>
      </rPr>
      <t>, мм.</t>
    </r>
    <r>
      <rPr>
        <vertAlign val="subscript"/>
        <sz val="8"/>
        <rFont val="Arial"/>
        <charset val="204"/>
      </rPr>
      <t xml:space="preserve"> </t>
    </r>
  </si>
  <si>
    <r>
      <rPr>
        <sz val="8"/>
        <rFont val="Arial"/>
        <charset val="204"/>
      </rPr>
      <t>Допуск
 |Н-H</t>
    </r>
    <r>
      <rPr>
        <vertAlign val="subscript"/>
        <sz val="8"/>
        <rFont val="Arial"/>
        <charset val="204"/>
      </rPr>
      <t>0</t>
    </r>
    <r>
      <rPr>
        <sz val="8"/>
        <rFont val="Arial"/>
        <charset val="204"/>
      </rPr>
      <t>|≤
|ΔH+ΔH</t>
    </r>
    <r>
      <rPr>
        <vertAlign val="subscript"/>
        <sz val="8"/>
        <rFont val="Arial"/>
        <charset val="204"/>
      </rPr>
      <t>0</t>
    </r>
    <r>
      <rPr>
        <sz val="8"/>
        <rFont val="Arial"/>
        <charset val="204"/>
      </rPr>
      <t>+ΔHм|</t>
    </r>
  </si>
  <si>
    <t>Результат</t>
  </si>
  <si>
    <t>2. КМХ измерительных каналов температуры</t>
  </si>
  <si>
    <t xml:space="preserve">№
канала
</t>
  </si>
  <si>
    <t>Уровень установки ДТ,мм</t>
  </si>
  <si>
    <r>
      <rPr>
        <sz val="8"/>
        <rFont val="Arial"/>
        <charset val="204"/>
      </rPr>
      <t>Показания ИС, t</t>
    </r>
    <r>
      <rPr>
        <vertAlign val="subscript"/>
        <sz val="8"/>
        <rFont val="Arial"/>
        <charset val="204"/>
      </rPr>
      <t>ис</t>
    </r>
    <r>
      <rPr>
        <sz val="8"/>
        <rFont val="Calibri Light"/>
        <charset val="204"/>
      </rPr>
      <t>,°С.</t>
    </r>
  </si>
  <si>
    <r>
      <rPr>
        <sz val="8"/>
        <rFont val="Arial"/>
        <charset val="204"/>
      </rPr>
      <t>Показания контрольных СИ, t</t>
    </r>
    <r>
      <rPr>
        <vertAlign val="subscript"/>
        <sz val="8"/>
        <rFont val="Arial"/>
        <charset val="204"/>
      </rPr>
      <t>0,</t>
    </r>
    <r>
      <rPr>
        <vertAlign val="superscript"/>
        <sz val="8"/>
        <rFont val="Arial"/>
        <charset val="204"/>
      </rPr>
      <t xml:space="preserve"> ͦ </t>
    </r>
    <r>
      <rPr>
        <sz val="8"/>
        <rFont val="Arial"/>
        <charset val="204"/>
      </rPr>
      <t>С</t>
    </r>
    <r>
      <rPr>
        <vertAlign val="subscript"/>
        <sz val="8"/>
        <rFont val="Arial"/>
        <charset val="204"/>
      </rPr>
      <t>.</t>
    </r>
  </si>
  <si>
    <r>
      <rPr>
        <sz val="8"/>
        <rFont val="Arial"/>
        <charset val="204"/>
      </rPr>
      <t>t</t>
    </r>
    <r>
      <rPr>
        <vertAlign val="subscript"/>
        <sz val="8"/>
        <rFont val="Arial"/>
        <charset val="204"/>
      </rPr>
      <t>ис</t>
    </r>
    <r>
      <rPr>
        <sz val="8"/>
        <rFont val="Arial"/>
        <charset val="204"/>
      </rPr>
      <t>-t</t>
    </r>
    <r>
      <rPr>
        <vertAlign val="subscript"/>
        <sz val="8"/>
        <rFont val="Arial"/>
        <charset val="204"/>
      </rPr>
      <t>0</t>
    </r>
  </si>
  <si>
    <r>
      <rPr>
        <sz val="8"/>
        <rFont val="Arial"/>
        <charset val="204"/>
      </rPr>
      <t>Допуск 
|t</t>
    </r>
    <r>
      <rPr>
        <vertAlign val="subscript"/>
        <sz val="8"/>
        <rFont val="Arial"/>
        <charset val="204"/>
      </rPr>
      <t>ис</t>
    </r>
    <r>
      <rPr>
        <sz val="8"/>
        <rFont val="Arial"/>
        <charset val="204"/>
      </rPr>
      <t>-t</t>
    </r>
    <r>
      <rPr>
        <vertAlign val="subscript"/>
        <sz val="8"/>
        <rFont val="Arial"/>
        <charset val="204"/>
      </rPr>
      <t>0</t>
    </r>
    <r>
      <rPr>
        <sz val="8"/>
        <rFont val="Arial"/>
        <charset val="204"/>
      </rPr>
      <t>|≤0,5</t>
    </r>
  </si>
  <si>
    <t>3. КМХ измерительного канала плотности</t>
  </si>
  <si>
    <t>Положение ДД, мм</t>
  </si>
  <si>
    <r>
      <rPr>
        <sz val="9"/>
        <rFont val="Arial"/>
        <charset val="204"/>
      </rPr>
      <t>Показания ИС, ρ</t>
    </r>
    <r>
      <rPr>
        <vertAlign val="subscript"/>
        <sz val="9"/>
        <rFont val="Arial"/>
        <charset val="204"/>
      </rPr>
      <t>ис,</t>
    </r>
    <r>
      <rPr>
        <sz val="9"/>
        <rFont val="Arial"/>
        <charset val="204"/>
      </rPr>
      <t xml:space="preserve"> кг/м</t>
    </r>
    <r>
      <rPr>
        <vertAlign val="superscript"/>
        <sz val="9"/>
        <rFont val="Arial"/>
        <charset val="204"/>
      </rPr>
      <t>3</t>
    </r>
  </si>
  <si>
    <r>
      <rPr>
        <sz val="9"/>
        <rFont val="Arial"/>
        <charset val="204"/>
      </rPr>
      <t>Показания контрольных СИ, ρ, кг/м</t>
    </r>
    <r>
      <rPr>
        <vertAlign val="superscript"/>
        <sz val="9"/>
        <rFont val="Arial"/>
        <charset val="204"/>
      </rPr>
      <t>3</t>
    </r>
  </si>
  <si>
    <r>
      <rPr>
        <sz val="9"/>
        <rFont val="Arial"/>
        <charset val="204"/>
      </rPr>
      <t>Плотность НП сред. ρ</t>
    </r>
    <r>
      <rPr>
        <vertAlign val="subscript"/>
        <sz val="9"/>
        <rFont val="Arial"/>
        <charset val="204"/>
      </rPr>
      <t>0,</t>
    </r>
    <r>
      <rPr>
        <sz val="9"/>
        <rFont val="Arial"/>
        <charset val="204"/>
      </rPr>
      <t xml:space="preserve">
кг/м</t>
    </r>
    <r>
      <rPr>
        <vertAlign val="superscript"/>
        <sz val="9"/>
        <rFont val="Arial"/>
        <charset val="204"/>
      </rPr>
      <t>3</t>
    </r>
  </si>
  <si>
    <r>
      <rPr>
        <sz val="9"/>
        <rFont val="Arial"/>
        <charset val="204"/>
      </rPr>
      <t>ρ</t>
    </r>
    <r>
      <rPr>
        <vertAlign val="subscript"/>
        <sz val="9"/>
        <rFont val="Arial"/>
        <charset val="204"/>
      </rPr>
      <t>ис</t>
    </r>
    <r>
      <rPr>
        <sz val="9"/>
        <rFont val="Arial"/>
        <charset val="204"/>
      </rPr>
      <t>-ρ</t>
    </r>
    <r>
      <rPr>
        <vertAlign val="subscript"/>
        <sz val="9"/>
        <rFont val="Arial"/>
        <charset val="204"/>
      </rPr>
      <t>0</t>
    </r>
  </si>
  <si>
    <r>
      <rPr>
        <sz val="9"/>
        <rFont val="Arial"/>
        <charset val="204"/>
      </rPr>
      <t>Допуск 
|ρ</t>
    </r>
    <r>
      <rPr>
        <vertAlign val="subscript"/>
        <sz val="9"/>
        <rFont val="Arial"/>
        <charset val="204"/>
      </rPr>
      <t>ис</t>
    </r>
    <r>
      <rPr>
        <sz val="9"/>
        <rFont val="Arial"/>
        <charset val="204"/>
      </rPr>
      <t>-ρ</t>
    </r>
    <r>
      <rPr>
        <vertAlign val="subscript"/>
        <sz val="9"/>
        <rFont val="Arial"/>
        <charset val="204"/>
      </rPr>
      <t>0</t>
    </r>
    <r>
      <rPr>
        <sz val="9"/>
        <rFont val="Arial"/>
        <charset val="204"/>
      </rPr>
      <t>|≤1</t>
    </r>
  </si>
  <si>
    <t>4. КМХ измерительных канала объема</t>
  </si>
  <si>
    <t xml:space="preserve">Температура стенки резервуара </t>
  </si>
  <si>
    <r>
      <rPr>
        <sz val="9"/>
        <rFont val="Arial"/>
        <charset val="204"/>
      </rPr>
      <t xml:space="preserve"> tст(</t>
    </r>
    <r>
      <rPr>
        <vertAlign val="superscript"/>
        <sz val="9"/>
        <rFont val="Arial"/>
        <charset val="204"/>
      </rPr>
      <t xml:space="preserve"> ͦ </t>
    </r>
    <r>
      <rPr>
        <sz val="9"/>
        <rFont val="Arial"/>
        <charset val="204"/>
      </rPr>
      <t>С)=</t>
    </r>
  </si>
  <si>
    <r>
      <rPr>
        <sz val="9"/>
        <rFont val="Arial"/>
        <charset val="204"/>
      </rPr>
      <t>m</t>
    </r>
    <r>
      <rPr>
        <vertAlign val="subscript"/>
        <sz val="9"/>
        <rFont val="Arial"/>
        <charset val="204"/>
      </rPr>
      <t xml:space="preserve">понтона </t>
    </r>
    <r>
      <rPr>
        <sz val="9"/>
        <rFont val="Arial"/>
        <charset val="204"/>
      </rPr>
      <t>=</t>
    </r>
  </si>
  <si>
    <t>Поправка на объем нефтепродукта, вытесненный понтоном</t>
  </si>
  <si>
    <r>
      <rPr>
        <sz val="9"/>
        <rFont val="Arial"/>
        <charset val="204"/>
      </rPr>
      <t>ΔV к ( м</t>
    </r>
    <r>
      <rPr>
        <vertAlign val="superscript"/>
        <sz val="9"/>
        <rFont val="Arial"/>
        <charset val="204"/>
      </rPr>
      <t>3</t>
    </r>
    <r>
      <rPr>
        <sz val="9"/>
        <rFont val="Arial"/>
        <charset val="204"/>
      </rPr>
      <t>)=</t>
    </r>
  </si>
  <si>
    <r>
      <rPr>
        <sz val="9"/>
        <rFont val="Arial"/>
        <charset val="204"/>
      </rPr>
      <t>ρ</t>
    </r>
    <r>
      <rPr>
        <vertAlign val="subscript"/>
        <sz val="9"/>
        <rFont val="Arial"/>
        <charset val="204"/>
      </rPr>
      <t xml:space="preserve"> при поверке</t>
    </r>
    <r>
      <rPr>
        <sz val="9"/>
        <rFont val="Arial"/>
        <charset val="204"/>
      </rPr>
      <t xml:space="preserve"> =</t>
    </r>
  </si>
  <si>
    <r>
      <rPr>
        <sz val="9"/>
        <rFont val="Arial"/>
        <charset val="204"/>
      </rPr>
      <t>Показания ИС,V</t>
    </r>
    <r>
      <rPr>
        <vertAlign val="subscript"/>
        <sz val="9"/>
        <rFont val="Arial"/>
        <charset val="204"/>
      </rPr>
      <t>ис</t>
    </r>
    <r>
      <rPr>
        <sz val="9"/>
        <rFont val="Arial"/>
        <charset val="204"/>
      </rPr>
      <t>, м</t>
    </r>
    <r>
      <rPr>
        <vertAlign val="superscript"/>
        <sz val="9"/>
        <rFont val="Arial"/>
        <charset val="204"/>
      </rPr>
      <t>3</t>
    </r>
  </si>
  <si>
    <r>
      <rPr>
        <sz val="9"/>
        <rFont val="Arial"/>
        <charset val="204"/>
      </rPr>
      <t>Уровень НП, Н</t>
    </r>
    <r>
      <rPr>
        <vertAlign val="subscript"/>
        <sz val="9"/>
        <rFont val="Arial"/>
        <charset val="204"/>
      </rPr>
      <t>0</t>
    </r>
    <r>
      <rPr>
        <sz val="9"/>
        <rFont val="Arial"/>
        <charset val="204"/>
      </rPr>
      <t>, мм</t>
    </r>
  </si>
  <si>
    <r>
      <rPr>
        <sz val="8"/>
        <rFont val="Arial"/>
        <charset val="204"/>
      </rPr>
      <t>Объем по град. табл. V</t>
    </r>
    <r>
      <rPr>
        <vertAlign val="subscript"/>
        <sz val="11"/>
        <rFont val="Calibri"/>
        <charset val="204"/>
        <scheme val="minor"/>
      </rPr>
      <t>гр,</t>
    </r>
    <r>
      <rPr>
        <vertAlign val="subscript"/>
        <sz val="9"/>
        <rFont val="Arial"/>
        <charset val="204"/>
      </rPr>
      <t xml:space="preserve"> </t>
    </r>
    <r>
      <rPr>
        <sz val="8"/>
        <rFont val="Arial"/>
        <charset val="204"/>
      </rPr>
      <t>м</t>
    </r>
    <r>
      <rPr>
        <vertAlign val="superscript"/>
        <sz val="8"/>
        <rFont val="Arial"/>
        <charset val="204"/>
      </rPr>
      <t>3</t>
    </r>
  </si>
  <si>
    <r>
      <rPr>
        <sz val="8"/>
        <rFont val="Arial"/>
        <charset val="204"/>
      </rPr>
      <t>Объем НП в резервуаре при проведении КМХ,
V</t>
    </r>
    <r>
      <rPr>
        <vertAlign val="subscript"/>
        <sz val="8"/>
        <rFont val="Arial"/>
        <charset val="204"/>
      </rPr>
      <t xml:space="preserve">0, </t>
    </r>
    <r>
      <rPr>
        <sz val="8"/>
        <rFont val="Arial"/>
        <charset val="204"/>
      </rPr>
      <t>м</t>
    </r>
    <r>
      <rPr>
        <vertAlign val="superscript"/>
        <sz val="8"/>
        <rFont val="Arial"/>
        <charset val="204"/>
      </rPr>
      <t>3</t>
    </r>
  </si>
  <si>
    <t>δVис</t>
  </si>
  <si>
    <t>δV</t>
  </si>
  <si>
    <t>5. КМХ измерительных канала массы</t>
  </si>
  <si>
    <r>
      <rPr>
        <sz val="8"/>
        <rFont val="Arial"/>
        <charset val="204"/>
      </rPr>
      <t>Показания ИС,m</t>
    </r>
    <r>
      <rPr>
        <vertAlign val="subscript"/>
        <sz val="8"/>
        <rFont val="Arial"/>
        <charset val="204"/>
      </rPr>
      <t>ис</t>
    </r>
    <r>
      <rPr>
        <sz val="8"/>
        <rFont val="Arial"/>
        <charset val="204"/>
      </rPr>
      <t>, кг</t>
    </r>
  </si>
  <si>
    <r>
      <rPr>
        <sz val="8"/>
        <rFont val="Arial"/>
        <charset val="204"/>
      </rPr>
      <t>Масса НП при проведении КМХ, m</t>
    </r>
    <r>
      <rPr>
        <vertAlign val="subscript"/>
        <sz val="8"/>
        <rFont val="Arial"/>
        <charset val="204"/>
      </rPr>
      <t>0</t>
    </r>
    <r>
      <rPr>
        <sz val="8"/>
        <rFont val="Arial"/>
        <charset val="204"/>
      </rPr>
      <t>, кг</t>
    </r>
  </si>
  <si>
    <t>δm</t>
  </si>
  <si>
    <r>
      <rPr>
        <sz val="8"/>
        <rFont val="Arial"/>
        <charset val="204"/>
      </rPr>
      <t>δm</t>
    </r>
    <r>
      <rPr>
        <vertAlign val="subscript"/>
        <sz val="8"/>
        <rFont val="Arial"/>
        <charset val="204"/>
      </rPr>
      <t>ис</t>
    </r>
  </si>
  <si>
    <t xml:space="preserve">Информация о последних внесенных изменениях в МХ ИС: </t>
  </si>
  <si>
    <t>* параметры корректирующих коэффициентов указаны в журнале</t>
  </si>
  <si>
    <t xml:space="preserve">Заключение </t>
  </si>
  <si>
    <t xml:space="preserve">Положительный результат по всем параметрам. Корректировка не требуется </t>
  </si>
  <si>
    <t>Комиссия в составе:</t>
  </si>
  <si>
    <t>ЗГД по НБ / Начальник цеха</t>
  </si>
  <si>
    <t>Алейников Е.В.</t>
  </si>
  <si>
    <t>(должность)</t>
  </si>
  <si>
    <t>(подпись)</t>
  </si>
  <si>
    <t>(Ф.И.О.)</t>
  </si>
  <si>
    <t>Главнй инженер</t>
  </si>
  <si>
    <t>Геккель В.С.</t>
  </si>
  <si>
    <t>Мастер</t>
  </si>
  <si>
    <t>Синельникова М.Г.</t>
  </si>
  <si>
    <t xml:space="preserve">Оператор </t>
  </si>
  <si>
    <t>Ведущий специалист БКЗ</t>
  </si>
  <si>
    <t>Савенко С.П.</t>
  </si>
  <si>
    <t>При вводе корректировок:</t>
  </si>
  <si>
    <t xml:space="preserve">Инженер КИПиА </t>
  </si>
  <si>
    <t>Согласовано:</t>
  </si>
  <si>
    <t>ВС по метрологии</t>
  </si>
  <si>
    <t>Лыйров А.Г.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</si>
</sst>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  <numFmt numFmtId="181" formatCode="0.000"/>
    <numFmt numFmtId="182" formatCode="dd\.mm\.yyyy"/>
  </numFmts>
  <fonts count="45">
    <font>
      <sz val="11"/>
      <color theme="1"/>
      <name val="Calibri"/>
      <charset val="134"/>
      <scheme val="minor"/>
    </font>
    <font>
      <sz val="11"/>
      <color theme="1"/>
      <name val="Times New Roman"/>
      <charset val="204"/>
    </font>
    <font>
      <sz val="11"/>
      <color theme="1"/>
      <name val="Calibri"/>
      <charset val="204"/>
      <scheme val="minor"/>
    </font>
    <font>
      <b/>
      <sz val="9"/>
      <name val="Arial"/>
      <charset val="204"/>
    </font>
    <font>
      <sz val="9"/>
      <name val="Arial"/>
      <charset val="204"/>
    </font>
    <font>
      <b/>
      <u/>
      <sz val="9"/>
      <color theme="1"/>
      <name val="Arial"/>
      <charset val="204"/>
    </font>
    <font>
      <sz val="10"/>
      <color theme="1"/>
      <name val="Arial"/>
      <charset val="204"/>
    </font>
    <font>
      <sz val="10"/>
      <color rgb="FF000000"/>
      <name val="Arial"/>
      <charset val="204"/>
    </font>
    <font>
      <b/>
      <u/>
      <sz val="9"/>
      <name val="Arial"/>
      <charset val="204"/>
    </font>
    <font>
      <sz val="8"/>
      <name val="Arial"/>
      <charset val="204"/>
    </font>
    <font>
      <b/>
      <sz val="11"/>
      <name val="Arial"/>
      <charset val="204"/>
    </font>
    <font>
      <b/>
      <sz val="9"/>
      <color theme="1"/>
      <name val="Arial"/>
      <charset val="204"/>
    </font>
    <font>
      <sz val="9"/>
      <color theme="1"/>
      <name val="Arial"/>
      <charset val="204"/>
    </font>
    <font>
      <sz val="8"/>
      <color theme="1"/>
      <name val="Arial"/>
      <charset val="204"/>
    </font>
    <font>
      <sz val="11"/>
      <name val="Arial"/>
      <charset val="204"/>
    </font>
    <font>
      <sz val="10"/>
      <name val="Arial"/>
      <charset val="204"/>
    </font>
    <font>
      <sz val="11"/>
      <name val="Calibri"/>
      <charset val="204"/>
      <scheme val="minor"/>
    </font>
    <font>
      <i/>
      <sz val="9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bscript"/>
      <sz val="8"/>
      <name val="Arial"/>
      <charset val="204"/>
    </font>
    <font>
      <vertAlign val="subscript"/>
      <sz val="8"/>
      <color theme="1"/>
      <name val="Arial"/>
      <charset val="204"/>
    </font>
    <font>
      <vertAlign val="subscript"/>
      <sz val="9"/>
      <name val="Arial"/>
      <charset val="204"/>
    </font>
    <font>
      <vertAlign val="superscript"/>
      <sz val="9"/>
      <name val="Arial"/>
      <charset val="204"/>
    </font>
    <font>
      <vertAlign val="superscript"/>
      <sz val="8"/>
      <name val="Arial"/>
      <charset val="204"/>
    </font>
    <font>
      <vertAlign val="subscript"/>
      <sz val="11"/>
      <name val="Calibri"/>
      <charset val="204"/>
      <scheme val="minor"/>
    </font>
    <font>
      <sz val="8"/>
      <name val="Calibri Light"/>
      <charset val="204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1" applyNumberFormat="0" applyAlignment="0" applyProtection="0">
      <alignment vertical="center"/>
    </xf>
    <xf numFmtId="0" fontId="28" fillId="7" borderId="12" applyNumberFormat="0" applyAlignment="0" applyProtection="0">
      <alignment vertical="center"/>
    </xf>
    <xf numFmtId="0" fontId="29" fillId="7" borderId="11" applyNumberFormat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protection locked="0"/>
    </xf>
    <xf numFmtId="0" fontId="7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left"/>
      <protection locked="0"/>
    </xf>
    <xf numFmtId="49" fontId="7" fillId="0" borderId="4" xfId="0" applyNumberFormat="1" applyFont="1" applyBorder="1" applyAlignment="1" applyProtection="1">
      <alignment horizontal="left"/>
      <protection locked="0"/>
    </xf>
    <xf numFmtId="49" fontId="7" fillId="0" borderId="0" xfId="0" applyNumberFormat="1" applyFont="1" applyAlignment="1" applyProtection="1">
      <protection locked="0"/>
    </xf>
    <xf numFmtId="0" fontId="8" fillId="0" borderId="0" xfId="0" applyFont="1" applyProtection="1"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protection locked="0"/>
    </xf>
    <xf numFmtId="0" fontId="10" fillId="0" borderId="0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2" fillId="0" borderId="4" xfId="0" applyFont="1" applyFill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2" fillId="2" borderId="4" xfId="0" applyFont="1" applyFill="1" applyBorder="1" applyAlignment="1" applyProtection="1">
      <alignment horizontal="center" vertical="center" wrapText="1"/>
      <protection locked="0"/>
    </xf>
    <xf numFmtId="0" fontId="12" fillId="3" borderId="4" xfId="0" applyFont="1" applyFill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1" fontId="12" fillId="3" borderId="4" xfId="0" applyNumberFormat="1" applyFont="1" applyFill="1" applyBorder="1" applyAlignment="1" applyProtection="1">
      <alignment horizontal="center" vertical="center" wrapText="1"/>
    </xf>
    <xf numFmtId="1" fontId="12" fillId="4" borderId="4" xfId="0" applyNumberFormat="1" applyFont="1" applyFill="1" applyBorder="1" applyAlignment="1" applyProtection="1">
      <alignment horizontal="center" vertical="center" wrapText="1"/>
    </xf>
    <xf numFmtId="180" fontId="12" fillId="3" borderId="4" xfId="0" applyNumberFormat="1" applyFont="1" applyFill="1" applyBorder="1" applyAlignment="1" applyProtection="1">
      <alignment horizontal="center" vertical="center" wrapText="1"/>
    </xf>
    <xf numFmtId="180" fontId="4" fillId="3" borderId="4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9" fillId="0" borderId="4" xfId="0" applyFont="1" applyBorder="1" applyAlignment="1" applyProtection="1">
      <alignment horizontal="center" vertical="top" wrapText="1"/>
      <protection locked="0"/>
    </xf>
    <xf numFmtId="0" fontId="13" fillId="0" borderId="5" xfId="0" applyFont="1" applyBorder="1" applyAlignment="1" applyProtection="1">
      <alignment horizontal="center" vertical="top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  <protection locked="0"/>
    </xf>
    <xf numFmtId="180" fontId="4" fillId="2" borderId="5" xfId="0" applyNumberFormat="1" applyFont="1" applyFill="1" applyBorder="1" applyAlignment="1" applyProtection="1">
      <alignment horizontal="center" vertical="center" wrapText="1"/>
      <protection locked="0"/>
    </xf>
    <xf numFmtId="180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180" fontId="4" fillId="3" borderId="5" xfId="0" applyNumberFormat="1" applyFont="1" applyFill="1" applyBorder="1" applyAlignment="1" applyProtection="1">
      <alignment horizontal="center" vertical="center" wrapText="1"/>
    </xf>
    <xf numFmtId="180" fontId="4" fillId="3" borderId="6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1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180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181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4" xfId="0" applyNumberFormat="1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locked="0"/>
    </xf>
    <xf numFmtId="181" fontId="4" fillId="3" borderId="4" xfId="0" applyNumberFormat="1" applyFont="1" applyFill="1" applyBorder="1" applyAlignment="1" applyProtection="1">
      <alignment horizontal="center" vertical="center" wrapText="1"/>
    </xf>
    <xf numFmtId="2" fontId="4" fillId="3" borderId="4" xfId="0" applyNumberFormat="1" applyFont="1" applyFill="1" applyBorder="1" applyAlignment="1" applyProtection="1">
      <alignment horizontal="center" vertical="center" wrapText="1"/>
    </xf>
    <xf numFmtId="2" fontId="4" fillId="0" borderId="4" xfId="0" applyNumberFormat="1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left" wrapText="1"/>
      <protection locked="0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182" fontId="12" fillId="2" borderId="1" xfId="0" applyNumberFormat="1" applyFont="1" applyFill="1" applyBorder="1" applyAlignment="1" applyProtection="1">
      <alignment horizontal="center" vertical="center"/>
      <protection locked="0"/>
    </xf>
    <xf numFmtId="20" fontId="12" fillId="2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0" fontId="2" fillId="0" borderId="0" xfId="0" applyFont="1" applyAlignment="1">
      <alignment horizontal="right"/>
    </xf>
    <xf numFmtId="0" fontId="4" fillId="2" borderId="1" xfId="0" applyFont="1" applyFill="1" applyBorder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9" fillId="2" borderId="4" xfId="0" applyFont="1" applyFill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180" fontId="12" fillId="4" borderId="4" xfId="0" applyNumberFormat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180" fontId="4" fillId="3" borderId="4" xfId="0" applyNumberFormat="1" applyFont="1" applyFill="1" applyBorder="1" applyAlignment="1" applyProtection="1">
      <alignment horizontal="left"/>
    </xf>
    <xf numFmtId="0" fontId="4" fillId="2" borderId="4" xfId="0" applyFont="1" applyFill="1" applyBorder="1" applyAlignment="1" applyProtection="1">
      <alignment horizontal="left"/>
      <protection locked="0"/>
    </xf>
    <xf numFmtId="2" fontId="4" fillId="3" borderId="4" xfId="0" applyNumberFormat="1" applyFont="1" applyFill="1" applyBorder="1" applyAlignment="1" applyProtection="1">
      <alignment horizontal="left"/>
    </xf>
    <xf numFmtId="0" fontId="16" fillId="0" borderId="0" xfId="0" applyFont="1" applyProtection="1">
      <protection locked="0"/>
    </xf>
    <xf numFmtId="0" fontId="14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4" xfId="0" applyFont="1" applyBorder="1" applyAlignment="1" applyProtection="1">
      <alignment horizontal="left" wrapText="1"/>
      <protection locked="0"/>
    </xf>
    <xf numFmtId="182" fontId="4" fillId="2" borderId="4" xfId="0" applyNumberFormat="1" applyFont="1" applyFill="1" applyBorder="1" applyAlignment="1" applyProtection="1">
      <alignment horizontal="left" wrapText="1"/>
      <protection locked="0"/>
    </xf>
    <xf numFmtId="0" fontId="17" fillId="0" borderId="7" xfId="0" applyFont="1" applyBorder="1" applyAlignment="1" applyProtection="1">
      <alignment horizontal="left" wrapText="1"/>
      <protection locked="0"/>
    </xf>
    <xf numFmtId="0" fontId="17" fillId="0" borderId="0" xfId="0" applyFont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Protection="1"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9" fillId="0" borderId="0" xfId="0" applyFont="1" applyBorder="1" applyAlignment="1" applyProtection="1">
      <alignment vertical="top"/>
      <protection locked="0"/>
    </xf>
    <xf numFmtId="0" fontId="9" fillId="0" borderId="1" xfId="0" applyFont="1" applyBorder="1" applyAlignment="1" applyProtection="1">
      <alignment vertical="top"/>
      <protection locked="0"/>
    </xf>
    <xf numFmtId="0" fontId="9" fillId="0" borderId="0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4" fillId="2" borderId="1" xfId="0" applyFont="1" applyFill="1" applyBorder="1" applyProtection="1">
      <protection locked="0"/>
    </xf>
    <xf numFmtId="0" fontId="9" fillId="0" borderId="0" xfId="0" applyFont="1" applyAlignment="1" applyProtection="1">
      <alignment horizontal="center" vertical="top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A1:M89"/>
  <sheetViews>
    <sheetView tabSelected="1" view="pageBreakPreview" zoomScaleNormal="100" workbookViewId="0">
      <selection activeCell="R14" sqref="R14"/>
    </sheetView>
  </sheetViews>
  <sheetFormatPr defaultColWidth="9.14285714285714" defaultRowHeight="15"/>
  <cols>
    <col min="1" max="1" width="12.8571428571429" style="4" customWidth="1"/>
    <col min="2" max="2" width="10.8571428571429" style="4" customWidth="1"/>
    <col min="3" max="3" width="10.4285714285714" style="4" customWidth="1"/>
    <col min="4" max="4" width="10" style="4" customWidth="1"/>
    <col min="5" max="5" width="9.57142857142857" style="4" customWidth="1"/>
    <col min="6" max="6" width="11.5714285714286" style="4" customWidth="1"/>
    <col min="7" max="8" width="11.1428571428571" style="4" customWidth="1"/>
    <col min="9" max="9" width="10.5714285714286" style="4" customWidth="1"/>
    <col min="10" max="10" width="13.1428571428571" style="4" customWidth="1"/>
    <col min="11" max="11" width="13" style="4" customWidth="1"/>
    <col min="12" max="12" width="9.28571428571429" style="4" customWidth="1"/>
    <col min="13" max="13" width="11.8571428571429" style="4" hidden="1" customWidth="1"/>
    <col min="14" max="16384" width="9.14285714285714" style="4"/>
  </cols>
  <sheetData>
    <row r="1" spans="1:1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4">
        <v>2</v>
      </c>
    </row>
    <row r="2" spans="1:13">
      <c r="A2" s="6"/>
      <c r="B2" s="7"/>
      <c r="C2" s="7"/>
      <c r="D2" s="7"/>
      <c r="E2" s="8" t="s">
        <v>1</v>
      </c>
      <c r="F2" s="8"/>
      <c r="G2" s="8"/>
      <c r="H2" s="9"/>
      <c r="I2" s="79" t="s">
        <v>2</v>
      </c>
      <c r="J2" s="80">
        <v>45216</v>
      </c>
      <c r="K2" s="79" t="s">
        <v>3</v>
      </c>
      <c r="L2" s="81">
        <v>0.534722222222222</v>
      </c>
      <c r="M2" s="4">
        <v>3</v>
      </c>
    </row>
    <row r="3" spans="1:13">
      <c r="A3" s="10" t="s">
        <v>4</v>
      </c>
      <c r="B3" s="11"/>
      <c r="C3" s="12">
        <v>19</v>
      </c>
      <c r="D3" s="12"/>
      <c r="E3" s="11"/>
      <c r="F3" s="11"/>
      <c r="G3" s="13"/>
      <c r="H3" s="11"/>
      <c r="I3" s="11"/>
      <c r="J3" s="11"/>
      <c r="K3" s="82"/>
      <c r="L3" s="6"/>
      <c r="M3" s="83" t="s">
        <v>5</v>
      </c>
    </row>
    <row r="4" spans="1:13">
      <c r="A4" s="10" t="s">
        <v>6</v>
      </c>
      <c r="B4" s="11"/>
      <c r="C4" s="14" t="s">
        <v>7</v>
      </c>
      <c r="D4" s="15"/>
      <c r="E4" s="15"/>
      <c r="F4" s="16" t="s">
        <v>8</v>
      </c>
      <c r="G4" s="12">
        <v>19</v>
      </c>
      <c r="H4" s="12"/>
      <c r="I4" s="11"/>
      <c r="J4" s="69" t="s">
        <v>9</v>
      </c>
      <c r="K4" s="84" t="s">
        <v>10</v>
      </c>
      <c r="L4" s="6"/>
      <c r="M4" s="4">
        <v>2e-5</v>
      </c>
    </row>
    <row r="5" spans="1:13">
      <c r="A5" s="10" t="s">
        <v>11</v>
      </c>
      <c r="B5" s="11"/>
      <c r="C5" s="17" t="s">
        <v>12</v>
      </c>
      <c r="D5" s="17"/>
      <c r="E5" s="17"/>
      <c r="F5" s="17"/>
      <c r="G5" s="17"/>
      <c r="H5" s="17"/>
      <c r="I5" s="17"/>
      <c r="J5" s="17"/>
      <c r="K5" s="17"/>
      <c r="L5" s="6"/>
      <c r="M5" s="4">
        <v>1.2e-5</v>
      </c>
    </row>
    <row r="6" ht="14.25" customHeight="1" spans="1:13">
      <c r="A6" s="6"/>
      <c r="B6" s="7"/>
      <c r="C6" s="18" t="s">
        <v>13</v>
      </c>
      <c r="D6" s="18"/>
      <c r="E6" s="18"/>
      <c r="F6" s="18"/>
      <c r="G6" s="18"/>
      <c r="H6" s="18"/>
      <c r="I6" s="18"/>
      <c r="J6" s="18"/>
      <c r="K6" s="18"/>
      <c r="L6" s="6"/>
      <c r="M6" s="4">
        <v>1.25e-5</v>
      </c>
    </row>
    <row r="7" ht="14.25" customHeight="1" spans="1:12">
      <c r="A7" s="19" t="s">
        <v>14</v>
      </c>
      <c r="B7" s="7"/>
      <c r="C7" s="6"/>
      <c r="D7" s="6"/>
      <c r="E7" s="6"/>
      <c r="F7" s="6"/>
      <c r="G7" s="6"/>
      <c r="H7" s="20" t="s">
        <v>15</v>
      </c>
      <c r="I7" s="20"/>
      <c r="J7" s="6"/>
      <c r="K7" s="7"/>
      <c r="L7" s="7"/>
    </row>
    <row r="8" ht="14.25" customHeight="1" spans="1:12">
      <c r="A8" s="21" t="s">
        <v>16</v>
      </c>
      <c r="B8" s="21"/>
      <c r="C8" s="21"/>
      <c r="D8" s="21"/>
      <c r="E8" s="21"/>
      <c r="F8" s="22">
        <v>17</v>
      </c>
      <c r="G8" s="23" t="s">
        <v>17</v>
      </c>
      <c r="H8" s="24" t="str">
        <f>IF(AND(F8&gt;=-20,F8&lt;=35),"Да","Нет")</f>
        <v>Да</v>
      </c>
      <c r="I8" s="24"/>
      <c r="J8" s="6"/>
      <c r="K8" s="7"/>
      <c r="L8" s="7"/>
    </row>
    <row r="9" ht="14.25" customHeight="1" spans="1:12">
      <c r="A9" s="25" t="s">
        <v>18</v>
      </c>
      <c r="B9" s="26"/>
      <c r="C9" s="26"/>
      <c r="D9" s="26"/>
      <c r="E9" s="27"/>
      <c r="F9" s="22">
        <v>100</v>
      </c>
      <c r="G9" s="23" t="s">
        <v>19</v>
      </c>
      <c r="H9" s="24" t="str">
        <f>IF(AND(F9&gt;=86,F9&lt;=107),"Да","Нет")</f>
        <v>Да</v>
      </c>
      <c r="I9" s="24"/>
      <c r="J9" s="6"/>
      <c r="K9" s="7"/>
      <c r="L9" s="7"/>
    </row>
    <row r="10" ht="14.25" customHeight="1" spans="1:12">
      <c r="A10" s="28" t="s">
        <v>20</v>
      </c>
      <c r="B10" s="28"/>
      <c r="C10" s="28"/>
      <c r="D10" s="28"/>
      <c r="E10" s="28"/>
      <c r="F10" s="22">
        <v>3</v>
      </c>
      <c r="G10" s="29" t="s">
        <v>21</v>
      </c>
      <c r="H10" s="24" t="str">
        <f>IF(F10&lt;=12.5,"Да","Нет")</f>
        <v>Да</v>
      </c>
      <c r="I10" s="24"/>
      <c r="J10" s="6"/>
      <c r="K10" s="7"/>
      <c r="L10" s="7"/>
    </row>
    <row r="11" spans="1:13">
      <c r="A11" s="30" t="s">
        <v>22</v>
      </c>
      <c r="B11" s="11"/>
      <c r="C11" s="7"/>
      <c r="D11" s="7"/>
      <c r="E11" s="7"/>
      <c r="F11" s="7"/>
      <c r="G11" s="7"/>
      <c r="H11" s="7"/>
      <c r="I11" s="7"/>
      <c r="J11" s="7"/>
      <c r="K11" s="7"/>
      <c r="L11" s="7"/>
      <c r="M11" s="4" t="s">
        <v>23</v>
      </c>
    </row>
    <row r="12" customHeight="1" spans="1:13">
      <c r="A12" s="31" t="s">
        <v>24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6"/>
      <c r="M12" s="4" t="s">
        <v>10</v>
      </c>
    </row>
    <row r="13" customHeight="1" spans="1:13">
      <c r="A13" s="32" t="s">
        <v>25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6"/>
      <c r="M13" s="4" t="s">
        <v>26</v>
      </c>
    </row>
    <row r="14" ht="21.75" customHeight="1" spans="1:13">
      <c r="A14" s="32"/>
      <c r="B14" s="32"/>
      <c r="C14" s="32"/>
      <c r="D14" s="32"/>
      <c r="E14" s="32"/>
      <c r="F14" s="32"/>
      <c r="G14" s="32"/>
      <c r="H14" s="32"/>
      <c r="I14" s="85" t="s">
        <v>27</v>
      </c>
      <c r="J14" s="85"/>
      <c r="K14" s="86">
        <v>2</v>
      </c>
      <c r="L14" s="6"/>
      <c r="M14" s="4" t="s">
        <v>28</v>
      </c>
    </row>
    <row r="15" s="1" customFormat="1" spans="1:12">
      <c r="A15" s="33" t="s">
        <v>29</v>
      </c>
      <c r="B15" s="33"/>
      <c r="C15" s="33"/>
      <c r="D15" s="33"/>
      <c r="E15" s="33"/>
      <c r="F15" s="33"/>
      <c r="G15" s="33"/>
      <c r="H15" s="33"/>
      <c r="I15" s="33"/>
      <c r="J15" s="87" t="s">
        <v>30</v>
      </c>
      <c r="K15" s="88">
        <v>2e-5</v>
      </c>
      <c r="L15" s="89"/>
    </row>
    <row r="16" s="1" customFormat="1" spans="1:12">
      <c r="A16" s="33" t="s">
        <v>31</v>
      </c>
      <c r="B16" s="33"/>
      <c r="C16" s="33"/>
      <c r="D16" s="33"/>
      <c r="E16" s="33"/>
      <c r="F16" s="33"/>
      <c r="G16" s="33"/>
      <c r="H16" s="33"/>
      <c r="I16" s="33"/>
      <c r="J16" s="87" t="s">
        <v>32</v>
      </c>
      <c r="K16" s="88">
        <v>1.25e-5</v>
      </c>
      <c r="L16" s="89"/>
    </row>
    <row r="17" s="1" customFormat="1" spans="1:12">
      <c r="A17" s="33" t="s">
        <v>33</v>
      </c>
      <c r="B17" s="33"/>
      <c r="C17" s="33"/>
      <c r="D17" s="33"/>
      <c r="E17" s="33"/>
      <c r="F17" s="33"/>
      <c r="G17" s="33"/>
      <c r="H17" s="33"/>
      <c r="I17" s="33"/>
      <c r="J17" s="87" t="s">
        <v>34</v>
      </c>
      <c r="K17" s="88">
        <v>12224</v>
      </c>
      <c r="L17" s="89"/>
    </row>
    <row r="18" s="1" customFormat="1" spans="1:12">
      <c r="A18" s="33" t="s">
        <v>35</v>
      </c>
      <c r="B18" s="33"/>
      <c r="C18" s="33"/>
      <c r="D18" s="33"/>
      <c r="E18" s="33"/>
      <c r="F18" s="33"/>
      <c r="G18" s="33"/>
      <c r="H18" s="33"/>
      <c r="I18" s="33"/>
      <c r="J18" s="87" t="s">
        <v>36</v>
      </c>
      <c r="K18" s="88">
        <v>19</v>
      </c>
      <c r="L18" s="89"/>
    </row>
    <row r="19" ht="11.25" customHeight="1" spans="1:12">
      <c r="A19" s="34"/>
      <c r="B19" s="35"/>
      <c r="C19" s="35"/>
      <c r="D19" s="35"/>
      <c r="E19" s="35"/>
      <c r="F19" s="35"/>
      <c r="G19" s="35"/>
      <c r="H19" s="35"/>
      <c r="I19" s="35"/>
      <c r="J19" s="34"/>
      <c r="K19" s="34"/>
      <c r="L19" s="90"/>
    </row>
    <row r="20" ht="12.6" customHeight="1" spans="1:12">
      <c r="A20" s="36"/>
      <c r="B20" s="37" t="s">
        <v>37</v>
      </c>
      <c r="C20" s="37"/>
      <c r="D20" s="37"/>
      <c r="E20" s="37"/>
      <c r="F20" s="37"/>
      <c r="G20" s="37"/>
      <c r="H20" s="37"/>
      <c r="I20" s="37"/>
      <c r="J20" s="34"/>
      <c r="K20" s="34"/>
      <c r="L20" s="90"/>
    </row>
    <row r="21" customHeight="1" spans="1:12">
      <c r="A21" s="36"/>
      <c r="B21" s="37">
        <v>1</v>
      </c>
      <c r="C21" s="37"/>
      <c r="D21" s="37">
        <v>2</v>
      </c>
      <c r="E21" s="37"/>
      <c r="F21" s="37">
        <v>3</v>
      </c>
      <c r="G21" s="37"/>
      <c r="H21" s="37">
        <v>4</v>
      </c>
      <c r="I21" s="37"/>
      <c r="J21" s="34"/>
      <c r="K21" s="34"/>
      <c r="L21" s="90"/>
    </row>
    <row r="22" ht="29.25" customHeight="1" spans="1:12">
      <c r="A22" s="36"/>
      <c r="B22" s="38" t="s">
        <v>38</v>
      </c>
      <c r="C22" s="38" t="s">
        <v>39</v>
      </c>
      <c r="D22" s="38" t="s">
        <v>38</v>
      </c>
      <c r="E22" s="38" t="s">
        <v>39</v>
      </c>
      <c r="F22" s="38" t="s">
        <v>38</v>
      </c>
      <c r="G22" s="38" t="s">
        <v>39</v>
      </c>
      <c r="H22" s="38" t="s">
        <v>38</v>
      </c>
      <c r="I22" s="38" t="s">
        <v>39</v>
      </c>
      <c r="J22" s="34"/>
      <c r="K22" s="34"/>
      <c r="L22" s="90"/>
    </row>
    <row r="23" ht="18.75" customHeight="1" spans="1:12">
      <c r="A23" s="36"/>
      <c r="B23" s="39">
        <v>3345</v>
      </c>
      <c r="C23" s="39">
        <v>599</v>
      </c>
      <c r="D23" s="39">
        <v>3345</v>
      </c>
      <c r="E23" s="39">
        <v>597</v>
      </c>
      <c r="F23" s="39">
        <v>3345</v>
      </c>
      <c r="G23" s="39">
        <v>597</v>
      </c>
      <c r="H23" s="39">
        <v>3345</v>
      </c>
      <c r="I23" s="39">
        <v>597</v>
      </c>
      <c r="J23" s="34"/>
      <c r="K23" s="34"/>
      <c r="L23" s="90"/>
    </row>
    <row r="24" ht="45.75" customHeight="1" spans="1:12">
      <c r="A24" s="38" t="s">
        <v>40</v>
      </c>
      <c r="B24" s="40">
        <f>IF(AND(ISNUMBER(B23),ISNUMBER(C23)),B23-C23,"Н/Д")</f>
        <v>2746</v>
      </c>
      <c r="C24" s="40"/>
      <c r="D24" s="40">
        <f t="shared" ref="D24" si="0">IF(AND(ISNUMBER(D23),ISNUMBER(E23)),D23-E23,"Н/Д")</f>
        <v>2748</v>
      </c>
      <c r="E24" s="40"/>
      <c r="F24" s="40">
        <f>IF(AND(ISNUMBER(F23),ISNUMBER(G23)),F23-G23,"Нет данных")</f>
        <v>2748</v>
      </c>
      <c r="G24" s="40"/>
      <c r="H24" s="40">
        <f>IF(AND(ISNUMBER(H23),ISNUMBER(I23)),H23-I23,"Нет данных")</f>
        <v>2748</v>
      </c>
      <c r="I24" s="40"/>
      <c r="J24" s="34"/>
      <c r="K24" s="34"/>
      <c r="L24" s="90"/>
    </row>
    <row r="25" ht="18" customHeight="1" spans="1:12">
      <c r="A25" s="35"/>
      <c r="B25" s="35"/>
      <c r="C25" s="35"/>
      <c r="D25" s="35"/>
      <c r="E25" s="35"/>
      <c r="F25" s="35"/>
      <c r="G25" s="35"/>
      <c r="H25" s="35"/>
      <c r="I25" s="35"/>
      <c r="J25" s="34"/>
      <c r="K25" s="34"/>
      <c r="L25" s="90"/>
    </row>
    <row r="26" ht="31.5" customHeight="1" spans="1:12">
      <c r="A26" s="38" t="s">
        <v>41</v>
      </c>
      <c r="B26" s="38" t="s">
        <v>42</v>
      </c>
      <c r="C26" s="38" t="s">
        <v>43</v>
      </c>
      <c r="D26" s="38" t="s">
        <v>44</v>
      </c>
      <c r="E26" s="38" t="s">
        <v>45</v>
      </c>
      <c r="F26" s="41" t="s">
        <v>46</v>
      </c>
      <c r="G26" s="41" t="s">
        <v>47</v>
      </c>
      <c r="H26" s="41" t="s">
        <v>48</v>
      </c>
      <c r="I26" s="41" t="s">
        <v>49</v>
      </c>
      <c r="J26" s="41" t="s">
        <v>50</v>
      </c>
      <c r="K26" s="41"/>
      <c r="L26" s="6"/>
    </row>
    <row r="27" ht="34.15" customHeight="1" spans="1:12">
      <c r="A27" s="38"/>
      <c r="B27" s="38"/>
      <c r="C27" s="38"/>
      <c r="D27" s="38"/>
      <c r="E27" s="38"/>
      <c r="F27" s="41"/>
      <c r="G27" s="41"/>
      <c r="H27" s="41"/>
      <c r="I27" s="41"/>
      <c r="J27" s="41"/>
      <c r="K27" s="41"/>
      <c r="L27" s="6"/>
    </row>
    <row r="28" ht="15.75" customHeight="1" spans="1:12">
      <c r="A28" s="38">
        <v>1</v>
      </c>
      <c r="B28" s="38">
        <v>2</v>
      </c>
      <c r="C28" s="38">
        <v>3</v>
      </c>
      <c r="D28" s="38">
        <v>4</v>
      </c>
      <c r="E28" s="38">
        <v>5</v>
      </c>
      <c r="F28" s="38">
        <v>6</v>
      </c>
      <c r="G28" s="38">
        <v>7</v>
      </c>
      <c r="H28" s="38">
        <v>8</v>
      </c>
      <c r="I28" s="38">
        <v>9</v>
      </c>
      <c r="J28" s="41">
        <v>10</v>
      </c>
      <c r="K28" s="41"/>
      <c r="L28" s="6"/>
    </row>
    <row r="29" s="2" customFormat="1" ht="18.75" customHeight="1" spans="1:12">
      <c r="A29" s="42">
        <v>1</v>
      </c>
      <c r="B29" s="39">
        <v>9479</v>
      </c>
      <c r="C29" s="39">
        <v>17.3</v>
      </c>
      <c r="D29" s="43" t="e">
        <f>IF(AND(ISNUMBER(B24),ISNUMBER(D24)),IF(ABS(B24-D24)&lt;2,K17*(1+K16*(C29-K18))-B24*(1+K15*(C29-20)),IF(AND(ISNUMBER(F24),ISNUMBER(H24)),ROUND(triclose(K17*(1+K16*(C29-K18))-B24*(1+K15*(C29-20)),K17*(1+K16*(C29-K18))-D24*(1+K15*(C29-20)),K17*(1+K16*(C29-K18))-F24*(1+K15*(C29-20)),K17*(1+K16*(C29-K18))-H24*(1+K15*(C29-20))),0),"ошибка")),"Н/Д")</f>
        <v>#NAME?</v>
      </c>
      <c r="E29" s="44" t="e">
        <f>B29-D29</f>
        <v>#NAME?</v>
      </c>
      <c r="F29" s="45">
        <f>IF(ISNUMBER(K14),1,0)</f>
        <v>1</v>
      </c>
      <c r="G29" s="45">
        <v>1</v>
      </c>
      <c r="H29" s="46">
        <f>IF(K14="элект.р.",(2+0.05*B24/1000),IF(K14=2,((0.3+0.15*(B23/1000-1))^2+(0.3+0.15*(C23/1000-1))^2+(0.3+0.2*(K17/1000-1))^2)^0.5,((0.4+0.2*(B23/1000-1))^2+(0.4+0.2*(C23/1000-1))^2+(0.3+0.2*(K17/1000-1))^2)^0.5))</f>
        <v>2.63786146812148</v>
      </c>
      <c r="I29" s="91">
        <f>ABS(IF(K14="элект.р.",(H29+G29),(G29+H29+F29)))</f>
        <v>4.63786146812148</v>
      </c>
      <c r="J29" s="92" t="e">
        <f>(IF(ABS(E29)&lt;=I29,"Положительно","Отрицательно"))</f>
        <v>#NAME?</v>
      </c>
      <c r="K29" s="92"/>
      <c r="L29" s="93"/>
    </row>
    <row r="30" ht="14.25" customHeight="1" spans="1:12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6"/>
    </row>
    <row r="31" ht="16.5" customHeight="1" spans="1:12">
      <c r="A31" s="32" t="s">
        <v>51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6"/>
    </row>
    <row r="32" ht="33.75" spans="1:13">
      <c r="A32" s="49" t="s">
        <v>52</v>
      </c>
      <c r="B32" s="50" t="s">
        <v>53</v>
      </c>
      <c r="C32" s="51" t="s">
        <v>54</v>
      </c>
      <c r="D32" s="52"/>
      <c r="E32" s="51" t="s">
        <v>55</v>
      </c>
      <c r="F32" s="52"/>
      <c r="G32" s="51" t="s">
        <v>56</v>
      </c>
      <c r="H32" s="52"/>
      <c r="I32" s="51" t="s">
        <v>57</v>
      </c>
      <c r="J32" s="94"/>
      <c r="K32" s="51" t="s">
        <v>50</v>
      </c>
      <c r="L32" s="52"/>
      <c r="M32" s="6"/>
    </row>
    <row r="33" ht="14.25" customHeight="1" spans="1:13">
      <c r="A33" s="49">
        <v>1</v>
      </c>
      <c r="B33" s="49">
        <v>2</v>
      </c>
      <c r="C33" s="53">
        <v>3</v>
      </c>
      <c r="D33" s="54"/>
      <c r="E33" s="53">
        <v>4</v>
      </c>
      <c r="F33" s="54"/>
      <c r="G33" s="53">
        <v>5</v>
      </c>
      <c r="H33" s="54"/>
      <c r="I33" s="53">
        <v>6</v>
      </c>
      <c r="J33" s="54"/>
      <c r="K33" s="53">
        <v>7</v>
      </c>
      <c r="L33" s="54"/>
      <c r="M33" s="6"/>
    </row>
    <row r="34" ht="15.75" customHeight="1" spans="1:13">
      <c r="A34" s="55">
        <v>1</v>
      </c>
      <c r="B34" s="56">
        <v>582</v>
      </c>
      <c r="C34" s="57">
        <v>18.3</v>
      </c>
      <c r="D34" s="58"/>
      <c r="E34" s="57">
        <v>17.9</v>
      </c>
      <c r="F34" s="58"/>
      <c r="G34" s="59">
        <f>IF(OR(ISBLANK(C34),ISBLANK(E34))=TRUE,"-",(C34-E34))</f>
        <v>0.400000000000002</v>
      </c>
      <c r="H34" s="60"/>
      <c r="I34" s="77">
        <f>IF(OR(ISBLANK(C34),ISBLANK(E34))=TRUE,"-",ABS(0.5))</f>
        <v>0.5</v>
      </c>
      <c r="J34" s="95"/>
      <c r="K34" s="77" t="str">
        <f>IF(OR(ISBLANK(C34),ISBLANK(E34))=TRUE,"-",(IF(ABS(G34)&lt;=I34,"Положительно","Отрицательно")))</f>
        <v>Положительно</v>
      </c>
      <c r="L34" s="96"/>
      <c r="M34" s="6"/>
    </row>
    <row r="35" ht="15.75" customHeight="1" spans="1:13">
      <c r="A35" s="55">
        <v>2</v>
      </c>
      <c r="B35" s="56">
        <v>1582</v>
      </c>
      <c r="C35" s="57">
        <v>17.6</v>
      </c>
      <c r="D35" s="58"/>
      <c r="E35" s="57">
        <v>17.9</v>
      </c>
      <c r="F35" s="58"/>
      <c r="G35" s="59">
        <f t="shared" ref="G35:G43" si="1">IF(OR(ISBLANK(C35),ISBLANK(E35))=TRUE,"-",(C35-E35))</f>
        <v>-0.299999999999997</v>
      </c>
      <c r="H35" s="60"/>
      <c r="I35" s="77">
        <f t="shared" ref="I35:I43" si="2">IF(OR(ISBLANK(C35),ISBLANK(E35))=TRUE,"-",ABS(0.5))</f>
        <v>0.5</v>
      </c>
      <c r="J35" s="95"/>
      <c r="K35" s="77" t="str">
        <f t="shared" ref="K35:K43" si="3">IF(OR(ISBLANK(C35),ISBLANK(E35))=TRUE,"-",(IF(ABS(G35)&lt;=I35,"Положительно","Отрицательно")))</f>
        <v>Положительно</v>
      </c>
      <c r="L35" s="96"/>
      <c r="M35" s="6"/>
    </row>
    <row r="36" ht="15.75" customHeight="1" spans="1:13">
      <c r="A36" s="55">
        <v>3</v>
      </c>
      <c r="B36" s="56">
        <v>2582</v>
      </c>
      <c r="C36" s="57">
        <v>17.5</v>
      </c>
      <c r="D36" s="58"/>
      <c r="E36" s="57">
        <v>17.9</v>
      </c>
      <c r="F36" s="58"/>
      <c r="G36" s="59">
        <f t="shared" si="1"/>
        <v>-0.399999999999999</v>
      </c>
      <c r="H36" s="60"/>
      <c r="I36" s="77">
        <f t="shared" si="2"/>
        <v>0.5</v>
      </c>
      <c r="J36" s="95"/>
      <c r="K36" s="77" t="str">
        <f t="shared" si="3"/>
        <v>Положительно</v>
      </c>
      <c r="L36" s="96"/>
      <c r="M36" s="6"/>
    </row>
    <row r="37" ht="15.75" customHeight="1" spans="1:13">
      <c r="A37" s="55">
        <v>4</v>
      </c>
      <c r="B37" s="56">
        <v>3582</v>
      </c>
      <c r="C37" s="57">
        <v>17.4</v>
      </c>
      <c r="D37" s="58"/>
      <c r="E37" s="57">
        <v>17.8</v>
      </c>
      <c r="F37" s="58"/>
      <c r="G37" s="59">
        <f t="shared" si="1"/>
        <v>-0.400000000000002</v>
      </c>
      <c r="H37" s="60"/>
      <c r="I37" s="77">
        <f t="shared" si="2"/>
        <v>0.5</v>
      </c>
      <c r="J37" s="95"/>
      <c r="K37" s="77" t="str">
        <f t="shared" si="3"/>
        <v>Положительно</v>
      </c>
      <c r="L37" s="96"/>
      <c r="M37" s="6"/>
    </row>
    <row r="38" ht="15.75" customHeight="1" spans="1:13">
      <c r="A38" s="55">
        <v>5</v>
      </c>
      <c r="B38" s="56">
        <v>4582</v>
      </c>
      <c r="C38" s="57">
        <v>17.5</v>
      </c>
      <c r="D38" s="58"/>
      <c r="E38" s="57">
        <v>18</v>
      </c>
      <c r="F38" s="58"/>
      <c r="G38" s="59">
        <f t="shared" si="1"/>
        <v>-0.5</v>
      </c>
      <c r="H38" s="60"/>
      <c r="I38" s="77">
        <f t="shared" si="2"/>
        <v>0.5</v>
      </c>
      <c r="J38" s="95"/>
      <c r="K38" s="77" t="str">
        <f t="shared" si="3"/>
        <v>Положительно</v>
      </c>
      <c r="L38" s="96"/>
      <c r="M38" s="6"/>
    </row>
    <row r="39" ht="15.75" customHeight="1" spans="1:13">
      <c r="A39" s="55">
        <v>6</v>
      </c>
      <c r="B39" s="56">
        <v>5582</v>
      </c>
      <c r="C39" s="57">
        <v>17.4</v>
      </c>
      <c r="D39" s="58"/>
      <c r="E39" s="57">
        <v>17.8</v>
      </c>
      <c r="F39" s="58"/>
      <c r="G39" s="59">
        <f t="shared" si="1"/>
        <v>-0.400000000000002</v>
      </c>
      <c r="H39" s="60"/>
      <c r="I39" s="77">
        <f t="shared" si="2"/>
        <v>0.5</v>
      </c>
      <c r="J39" s="95"/>
      <c r="K39" s="77" t="str">
        <f t="shared" si="3"/>
        <v>Положительно</v>
      </c>
      <c r="L39" s="96"/>
      <c r="M39" s="6"/>
    </row>
    <row r="40" ht="15.75" customHeight="1" spans="1:13">
      <c r="A40" s="55">
        <v>7</v>
      </c>
      <c r="B40" s="56">
        <v>6582</v>
      </c>
      <c r="C40" s="57">
        <v>17.2</v>
      </c>
      <c r="D40" s="58"/>
      <c r="E40" s="57">
        <v>17.5</v>
      </c>
      <c r="F40" s="58"/>
      <c r="G40" s="59">
        <f t="shared" si="1"/>
        <v>-0.300000000000001</v>
      </c>
      <c r="H40" s="60"/>
      <c r="I40" s="77">
        <f t="shared" si="2"/>
        <v>0.5</v>
      </c>
      <c r="J40" s="95"/>
      <c r="K40" s="77" t="str">
        <f t="shared" si="3"/>
        <v>Положительно</v>
      </c>
      <c r="L40" s="96"/>
      <c r="M40" s="6"/>
    </row>
    <row r="41" ht="15.75" customHeight="1" spans="1:13">
      <c r="A41" s="55">
        <v>8</v>
      </c>
      <c r="B41" s="56">
        <v>7582</v>
      </c>
      <c r="C41" s="57">
        <v>17.3</v>
      </c>
      <c r="D41" s="58"/>
      <c r="E41" s="57">
        <v>17.5</v>
      </c>
      <c r="F41" s="58"/>
      <c r="G41" s="59">
        <f t="shared" si="1"/>
        <v>-0.199999999999999</v>
      </c>
      <c r="H41" s="60"/>
      <c r="I41" s="77">
        <f t="shared" si="2"/>
        <v>0.5</v>
      </c>
      <c r="J41" s="95"/>
      <c r="K41" s="77" t="str">
        <f t="shared" si="3"/>
        <v>Положительно</v>
      </c>
      <c r="L41" s="96"/>
      <c r="M41" s="6"/>
    </row>
    <row r="42" ht="15.75" customHeight="1" spans="1:13">
      <c r="A42" s="55">
        <v>9</v>
      </c>
      <c r="B42" s="56">
        <v>8582</v>
      </c>
      <c r="C42" s="57">
        <v>17.1</v>
      </c>
      <c r="D42" s="58"/>
      <c r="E42" s="57">
        <v>17.5</v>
      </c>
      <c r="F42" s="58"/>
      <c r="G42" s="59">
        <f t="shared" si="1"/>
        <v>-0.399999999999999</v>
      </c>
      <c r="H42" s="60"/>
      <c r="I42" s="77">
        <f t="shared" si="2"/>
        <v>0.5</v>
      </c>
      <c r="J42" s="95"/>
      <c r="K42" s="77" t="str">
        <f t="shared" si="3"/>
        <v>Положительно</v>
      </c>
      <c r="L42" s="96"/>
      <c r="M42" s="6"/>
    </row>
    <row r="43" ht="15.75" customHeight="1" spans="1:13">
      <c r="A43" s="55">
        <v>10</v>
      </c>
      <c r="B43" s="56">
        <v>9582</v>
      </c>
      <c r="C43" s="57"/>
      <c r="D43" s="58"/>
      <c r="E43" s="57"/>
      <c r="F43" s="58"/>
      <c r="G43" s="59" t="str">
        <f t="shared" si="1"/>
        <v>-</v>
      </c>
      <c r="H43" s="60"/>
      <c r="I43" s="77" t="str">
        <f t="shared" si="2"/>
        <v>-</v>
      </c>
      <c r="J43" s="95"/>
      <c r="K43" s="77" t="str">
        <f t="shared" si="3"/>
        <v>-</v>
      </c>
      <c r="L43" s="96"/>
      <c r="M43" s="6"/>
    </row>
    <row r="44" ht="10.15" customHeight="1" spans="1:12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48"/>
      <c r="L44" s="6"/>
    </row>
    <row r="45" ht="16.5" customHeight="1" spans="1:12">
      <c r="A45" s="32" t="s">
        <v>58</v>
      </c>
      <c r="B45" s="32"/>
      <c r="C45" s="32"/>
      <c r="D45" s="32"/>
      <c r="E45" s="32"/>
      <c r="F45" s="32"/>
      <c r="G45" s="32"/>
      <c r="H45" s="32"/>
      <c r="I45" s="32"/>
      <c r="J45" s="32"/>
      <c r="K45" s="48"/>
      <c r="L45" s="6"/>
    </row>
    <row r="46" ht="36.75" customHeight="1" spans="1:13">
      <c r="A46" s="55" t="s">
        <v>41</v>
      </c>
      <c r="B46" s="55" t="s">
        <v>59</v>
      </c>
      <c r="C46" s="55" t="s">
        <v>60</v>
      </c>
      <c r="D46" s="55"/>
      <c r="E46" s="55" t="s">
        <v>61</v>
      </c>
      <c r="F46" s="55"/>
      <c r="G46" s="55" t="s">
        <v>62</v>
      </c>
      <c r="H46" s="55" t="s">
        <v>63</v>
      </c>
      <c r="I46" s="55" t="s">
        <v>64</v>
      </c>
      <c r="J46" s="55"/>
      <c r="K46" s="55" t="s">
        <v>50</v>
      </c>
      <c r="L46" s="55"/>
      <c r="M46" s="6"/>
    </row>
    <row r="47" customHeight="1" spans="1:13">
      <c r="A47" s="55">
        <v>1</v>
      </c>
      <c r="B47" s="55">
        <v>2</v>
      </c>
      <c r="C47" s="62">
        <v>3</v>
      </c>
      <c r="D47" s="63"/>
      <c r="E47" s="62">
        <v>4</v>
      </c>
      <c r="F47" s="63"/>
      <c r="G47" s="55">
        <v>5</v>
      </c>
      <c r="H47" s="55">
        <v>6</v>
      </c>
      <c r="I47" s="62">
        <v>7</v>
      </c>
      <c r="J47" s="97"/>
      <c r="K47" s="62">
        <v>8</v>
      </c>
      <c r="L47" s="63"/>
      <c r="M47" s="6"/>
    </row>
    <row r="48" customHeight="1" spans="1:13">
      <c r="A48" s="55">
        <v>1</v>
      </c>
      <c r="B48" s="64">
        <v>266</v>
      </c>
      <c r="C48" s="65">
        <v>844.6</v>
      </c>
      <c r="D48" s="65"/>
      <c r="E48" s="66">
        <v>844.1</v>
      </c>
      <c r="F48" s="66"/>
      <c r="G48" s="46">
        <f>(E48+3*E49+E50)/5</f>
        <v>844.12</v>
      </c>
      <c r="H48" s="67">
        <f>ABS(C48-G48)</f>
        <v>0.479999999999905</v>
      </c>
      <c r="I48" s="92">
        <v>1</v>
      </c>
      <c r="J48" s="92"/>
      <c r="K48" s="92" t="str">
        <f>(IF(ABS(H48)&lt;=I48,"Положительно","Отрицательно"))</f>
        <v>Положительно</v>
      </c>
      <c r="L48" s="92"/>
      <c r="M48" s="6"/>
    </row>
    <row r="49" customHeight="1" spans="1:13">
      <c r="A49" s="55">
        <v>2</v>
      </c>
      <c r="B49" s="64"/>
      <c r="C49" s="65"/>
      <c r="D49" s="65"/>
      <c r="E49" s="66">
        <v>844.2</v>
      </c>
      <c r="F49" s="66"/>
      <c r="G49" s="46"/>
      <c r="H49" s="67"/>
      <c r="I49" s="92"/>
      <c r="J49" s="92"/>
      <c r="K49" s="92"/>
      <c r="L49" s="92"/>
      <c r="M49" s="6"/>
    </row>
    <row r="50" customHeight="1" spans="1:13">
      <c r="A50" s="55">
        <v>3</v>
      </c>
      <c r="B50" s="64"/>
      <c r="C50" s="65"/>
      <c r="D50" s="65"/>
      <c r="E50" s="66">
        <v>843.9</v>
      </c>
      <c r="F50" s="66"/>
      <c r="G50" s="46"/>
      <c r="H50" s="67"/>
      <c r="I50" s="92"/>
      <c r="J50" s="92"/>
      <c r="K50" s="92"/>
      <c r="L50" s="92"/>
      <c r="M50" s="6"/>
    </row>
    <row r="51" ht="10.15" customHeight="1" spans="1:12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48"/>
      <c r="L51" s="6"/>
    </row>
    <row r="52" ht="16.5" customHeight="1" spans="1:12">
      <c r="A52" s="32" t="s">
        <v>65</v>
      </c>
      <c r="B52" s="32"/>
      <c r="C52" s="32"/>
      <c r="D52" s="32"/>
      <c r="E52" s="32"/>
      <c r="F52" s="32"/>
      <c r="G52" s="32"/>
      <c r="H52" s="32"/>
      <c r="I52" s="32"/>
      <c r="J52" s="13"/>
      <c r="K52" s="48"/>
      <c r="L52" s="6"/>
    </row>
    <row r="53" ht="16.5" customHeight="1" spans="1:12">
      <c r="A53" s="68" t="s">
        <v>66</v>
      </c>
      <c r="B53" s="68"/>
      <c r="C53" s="68"/>
      <c r="D53" s="68"/>
      <c r="E53" s="68"/>
      <c r="F53" s="68"/>
      <c r="G53" s="68"/>
      <c r="H53" s="69" t="s">
        <v>67</v>
      </c>
      <c r="I53" s="98">
        <f>AVERAGE(E34:F43)</f>
        <v>17.7555555555556</v>
      </c>
      <c r="J53" s="69" t="s">
        <v>68</v>
      </c>
      <c r="K53" s="99">
        <v>0</v>
      </c>
      <c r="L53" s="6"/>
    </row>
    <row r="54" ht="16.5" customHeight="1" spans="1:12">
      <c r="A54" s="70" t="s">
        <v>69</v>
      </c>
      <c r="B54" s="70"/>
      <c r="C54" s="70"/>
      <c r="D54" s="70"/>
      <c r="E54" s="70"/>
      <c r="F54" s="70"/>
      <c r="G54" s="70"/>
      <c r="H54" s="69" t="s">
        <v>70</v>
      </c>
      <c r="I54" s="100">
        <f>K53/G48-K53/K54</f>
        <v>0</v>
      </c>
      <c r="J54" s="69" t="s">
        <v>71</v>
      </c>
      <c r="K54" s="99">
        <v>839.8</v>
      </c>
      <c r="L54" s="6"/>
    </row>
    <row r="55" ht="41.25" customHeight="1" spans="1:12">
      <c r="A55" s="55" t="s">
        <v>41</v>
      </c>
      <c r="B55" s="55" t="s">
        <v>72</v>
      </c>
      <c r="C55" s="55"/>
      <c r="D55" s="55" t="s">
        <v>73</v>
      </c>
      <c r="E55" s="49" t="s">
        <v>74</v>
      </c>
      <c r="F55" s="41" t="s">
        <v>75</v>
      </c>
      <c r="G55" s="41"/>
      <c r="H55" s="55" t="s">
        <v>76</v>
      </c>
      <c r="I55" s="55" t="s">
        <v>77</v>
      </c>
      <c r="J55" s="55" t="s">
        <v>50</v>
      </c>
      <c r="K55" s="55"/>
      <c r="L55" s="101"/>
    </row>
    <row r="56" ht="14.25" customHeight="1" spans="1:12">
      <c r="A56" s="55">
        <v>1</v>
      </c>
      <c r="B56" s="62">
        <v>2</v>
      </c>
      <c r="C56" s="63"/>
      <c r="D56" s="63">
        <v>3</v>
      </c>
      <c r="E56" s="49">
        <v>4</v>
      </c>
      <c r="F56" s="62">
        <v>5</v>
      </c>
      <c r="G56" s="63"/>
      <c r="H56" s="55">
        <v>6</v>
      </c>
      <c r="I56" s="55">
        <v>7</v>
      </c>
      <c r="J56" s="62">
        <v>8</v>
      </c>
      <c r="K56" s="63"/>
      <c r="L56" s="101"/>
    </row>
    <row r="57" ht="22.5" customHeight="1" spans="1:12">
      <c r="A57" s="55">
        <v>1</v>
      </c>
      <c r="B57" s="71">
        <v>808.2</v>
      </c>
      <c r="C57" s="66"/>
      <c r="D57" s="72" t="e">
        <f>D29</f>
        <v>#NAME?</v>
      </c>
      <c r="E57" s="73">
        <v>807.885</v>
      </c>
      <c r="F57" s="74">
        <f>(E57-I54)*(1+(2*K16)*(I53-20))</f>
        <v>807.839668675</v>
      </c>
      <c r="G57" s="67"/>
      <c r="H57" s="75">
        <f>((B57-F57)/F57)*100</f>
        <v>0.0446043118421095</v>
      </c>
      <c r="I57" s="76">
        <v>0.4</v>
      </c>
      <c r="J57" s="77" t="str">
        <f>(IF(ABS(H57)&lt;=I57,"Положительно","Отрицательно"))</f>
        <v>Положительно</v>
      </c>
      <c r="K57" s="96"/>
      <c r="L57" s="101"/>
    </row>
    <row r="58" ht="14.25" customHeight="1" spans="1:12">
      <c r="A58" s="10"/>
      <c r="B58" s="11"/>
      <c r="C58" s="11"/>
      <c r="D58" s="11"/>
      <c r="E58" s="11"/>
      <c r="F58" s="11"/>
      <c r="G58" s="11"/>
      <c r="H58" s="11"/>
      <c r="I58" s="11"/>
      <c r="J58" s="101"/>
      <c r="K58" s="101"/>
      <c r="L58" s="6"/>
    </row>
    <row r="59" ht="15.75" customHeight="1" spans="1:12">
      <c r="A59" s="32" t="s">
        <v>78</v>
      </c>
      <c r="B59" s="32"/>
      <c r="C59" s="32"/>
      <c r="D59" s="32"/>
      <c r="E59" s="32"/>
      <c r="F59" s="32"/>
      <c r="G59" s="32"/>
      <c r="H59" s="32"/>
      <c r="I59" s="32"/>
      <c r="J59" s="101"/>
      <c r="K59" s="101"/>
      <c r="L59" s="6"/>
    </row>
    <row r="60" ht="23.25" customHeight="1" spans="1:12">
      <c r="A60" s="41" t="s">
        <v>41</v>
      </c>
      <c r="B60" s="41" t="s">
        <v>79</v>
      </c>
      <c r="C60" s="41"/>
      <c r="D60" s="41" t="s">
        <v>80</v>
      </c>
      <c r="E60" s="41"/>
      <c r="F60" s="41" t="s">
        <v>81</v>
      </c>
      <c r="G60" s="41" t="s">
        <v>82</v>
      </c>
      <c r="H60" s="41" t="s">
        <v>50</v>
      </c>
      <c r="I60" s="41"/>
      <c r="J60" s="11"/>
      <c r="K60" s="48"/>
      <c r="L60" s="6"/>
    </row>
    <row r="61" ht="12" customHeight="1" spans="1:12">
      <c r="A61" s="55">
        <v>1</v>
      </c>
      <c r="B61" s="62">
        <v>2</v>
      </c>
      <c r="C61" s="63"/>
      <c r="D61" s="62">
        <v>3</v>
      </c>
      <c r="E61" s="63"/>
      <c r="F61" s="55">
        <v>4</v>
      </c>
      <c r="G61" s="55">
        <v>5</v>
      </c>
      <c r="H61" s="55">
        <v>6</v>
      </c>
      <c r="I61" s="55"/>
      <c r="J61" s="11"/>
      <c r="K61" s="48"/>
      <c r="L61" s="6"/>
    </row>
    <row r="62" ht="18.75" customHeight="1" spans="1:12">
      <c r="A62" s="55">
        <v>1</v>
      </c>
      <c r="B62" s="64">
        <v>681200</v>
      </c>
      <c r="C62" s="66"/>
      <c r="D62" s="72">
        <f>F57*G48</f>
        <v>681913.621121941</v>
      </c>
      <c r="E62" s="67"/>
      <c r="F62" s="75">
        <f>((B62-D62)/D62)*100</f>
        <v>-0.104649782587863</v>
      </c>
      <c r="G62" s="76">
        <v>0.5</v>
      </c>
      <c r="H62" s="77" t="str">
        <f>(IF(ABS(F62)&lt;=G62,"Положительно","Отрицательно"))</f>
        <v>Положительно</v>
      </c>
      <c r="I62" s="96"/>
      <c r="J62" s="11"/>
      <c r="K62" s="48"/>
      <c r="L62" s="6"/>
    </row>
    <row r="63" ht="21" customHeight="1" spans="1:12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48"/>
      <c r="L63" s="6"/>
    </row>
    <row r="64" s="3" customFormat="1" ht="15.6" customHeight="1" spans="1:12">
      <c r="A64" s="78" t="s">
        <v>83</v>
      </c>
      <c r="B64" s="78"/>
      <c r="C64" s="78"/>
      <c r="D64" s="78"/>
      <c r="E64" s="78"/>
      <c r="F64" s="78"/>
      <c r="G64" s="78"/>
      <c r="H64" s="78"/>
      <c r="I64" s="78"/>
      <c r="J64" s="78"/>
      <c r="K64" s="102"/>
      <c r="L64" s="103"/>
    </row>
    <row r="65" s="3" customFormat="1" ht="15.6" customHeight="1" spans="1:12">
      <c r="A65" s="104" t="s">
        <v>2</v>
      </c>
      <c r="B65" s="105">
        <v>44631</v>
      </c>
      <c r="C65" s="106" t="s">
        <v>84</v>
      </c>
      <c r="D65" s="107"/>
      <c r="E65" s="107"/>
      <c r="F65" s="107"/>
      <c r="G65" s="107"/>
      <c r="H65" s="107"/>
      <c r="I65" s="107"/>
      <c r="J65" s="107"/>
      <c r="K65" s="107"/>
      <c r="L65" s="103"/>
    </row>
    <row r="66" spans="1:12">
      <c r="A66" s="7" t="s">
        <v>85</v>
      </c>
      <c r="B66" s="11"/>
      <c r="C66" s="11"/>
      <c r="D66" s="11"/>
      <c r="E66" s="11"/>
      <c r="F66" s="11"/>
      <c r="G66" s="11"/>
      <c r="H66" s="11"/>
      <c r="I66" s="11"/>
      <c r="J66" s="11"/>
      <c r="K66" s="48"/>
      <c r="L66" s="6"/>
    </row>
    <row r="67" spans="1:12">
      <c r="A67" s="108" t="s">
        <v>86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18"/>
      <c r="L67" s="6"/>
    </row>
    <row r="68" ht="18" customHeight="1" spans="1:12">
      <c r="A68" s="7" t="s">
        <v>87</v>
      </c>
      <c r="B68" s="11"/>
      <c r="C68" s="11"/>
      <c r="D68" s="11"/>
      <c r="E68" s="11"/>
      <c r="F68" s="11"/>
      <c r="G68" s="11"/>
      <c r="H68" s="11"/>
      <c r="I68" s="11"/>
      <c r="J68" s="11"/>
      <c r="K68" s="48"/>
      <c r="L68" s="6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48"/>
      <c r="L69" s="6"/>
    </row>
    <row r="70" spans="1:12">
      <c r="A70" s="110" t="s">
        <v>88</v>
      </c>
      <c r="B70" s="110"/>
      <c r="C70" s="110"/>
      <c r="D70" s="101"/>
      <c r="E70" s="101"/>
      <c r="F70" s="101"/>
      <c r="G70" s="6"/>
      <c r="H70" s="6"/>
      <c r="I70" s="110" t="s">
        <v>89</v>
      </c>
      <c r="J70" s="110"/>
      <c r="K70" s="6"/>
      <c r="L70" s="6"/>
    </row>
    <row r="71" spans="1:12">
      <c r="A71" s="111" t="s">
        <v>90</v>
      </c>
      <c r="B71" s="111"/>
      <c r="C71" s="111"/>
      <c r="D71" s="112"/>
      <c r="E71" s="111" t="s">
        <v>91</v>
      </c>
      <c r="F71" s="111"/>
      <c r="G71" s="6"/>
      <c r="H71" s="6"/>
      <c r="I71" s="119" t="s">
        <v>92</v>
      </c>
      <c r="J71" s="119"/>
      <c r="K71" s="6"/>
      <c r="L71" s="6"/>
    </row>
    <row r="72" spans="1:12">
      <c r="A72" s="110" t="s">
        <v>93</v>
      </c>
      <c r="B72" s="110"/>
      <c r="C72" s="110"/>
      <c r="D72" s="113"/>
      <c r="E72" s="114"/>
      <c r="F72" s="114"/>
      <c r="G72" s="6"/>
      <c r="H72" s="6"/>
      <c r="I72" s="110" t="s">
        <v>94</v>
      </c>
      <c r="J72" s="110"/>
      <c r="K72" s="6"/>
      <c r="L72" s="6"/>
    </row>
    <row r="73" spans="1:12">
      <c r="A73" s="111" t="s">
        <v>90</v>
      </c>
      <c r="B73" s="111"/>
      <c r="C73" s="111"/>
      <c r="D73" s="112"/>
      <c r="E73" s="111" t="s">
        <v>91</v>
      </c>
      <c r="F73" s="111"/>
      <c r="G73" s="6"/>
      <c r="H73" s="6"/>
      <c r="I73" s="119" t="s">
        <v>92</v>
      </c>
      <c r="J73" s="119"/>
      <c r="K73" s="6"/>
      <c r="L73" s="6"/>
    </row>
    <row r="74" spans="1:12">
      <c r="A74" s="110" t="s">
        <v>95</v>
      </c>
      <c r="B74" s="110"/>
      <c r="C74" s="110"/>
      <c r="D74" s="113"/>
      <c r="E74" s="114"/>
      <c r="F74" s="114"/>
      <c r="G74" s="6"/>
      <c r="H74" s="6"/>
      <c r="I74" s="110" t="s">
        <v>96</v>
      </c>
      <c r="J74" s="110"/>
      <c r="K74" s="6"/>
      <c r="L74" s="6"/>
    </row>
    <row r="75" spans="1:12">
      <c r="A75" s="111" t="s">
        <v>90</v>
      </c>
      <c r="B75" s="111"/>
      <c r="C75" s="111"/>
      <c r="D75" s="112"/>
      <c r="E75" s="111" t="s">
        <v>91</v>
      </c>
      <c r="F75" s="111"/>
      <c r="G75" s="6"/>
      <c r="H75" s="6"/>
      <c r="I75" s="119" t="s">
        <v>92</v>
      </c>
      <c r="J75" s="119"/>
      <c r="K75" s="6"/>
      <c r="L75" s="6"/>
    </row>
    <row r="76" spans="1:12">
      <c r="A76" s="110" t="s">
        <v>97</v>
      </c>
      <c r="B76" s="110"/>
      <c r="C76" s="110"/>
      <c r="D76" s="113"/>
      <c r="E76" s="114"/>
      <c r="F76" s="114"/>
      <c r="G76" s="6"/>
      <c r="H76" s="6"/>
      <c r="I76" s="110"/>
      <c r="J76" s="110"/>
      <c r="K76" s="6"/>
      <c r="L76" s="6"/>
    </row>
    <row r="77" spans="1:12">
      <c r="A77" s="111" t="s">
        <v>90</v>
      </c>
      <c r="B77" s="111"/>
      <c r="C77" s="111"/>
      <c r="D77" s="112"/>
      <c r="E77" s="111" t="s">
        <v>91</v>
      </c>
      <c r="F77" s="111"/>
      <c r="G77" s="6"/>
      <c r="H77" s="6"/>
      <c r="I77" s="119" t="s">
        <v>92</v>
      </c>
      <c r="J77" s="119"/>
      <c r="K77" s="6"/>
      <c r="L77" s="6"/>
    </row>
    <row r="78" spans="1:12">
      <c r="A78" s="110" t="s">
        <v>98</v>
      </c>
      <c r="B78" s="110"/>
      <c r="C78" s="110"/>
      <c r="D78" s="113"/>
      <c r="E78" s="114"/>
      <c r="F78" s="114"/>
      <c r="G78" s="6"/>
      <c r="H78" s="6"/>
      <c r="I78" s="110" t="s">
        <v>99</v>
      </c>
      <c r="J78" s="110"/>
      <c r="K78" s="6"/>
      <c r="L78" s="6"/>
    </row>
    <row r="79" spans="1:12">
      <c r="A79" s="111" t="s">
        <v>90</v>
      </c>
      <c r="B79" s="111"/>
      <c r="C79" s="111"/>
      <c r="D79" s="112"/>
      <c r="E79" s="111" t="s">
        <v>91</v>
      </c>
      <c r="F79" s="111"/>
      <c r="G79" s="6"/>
      <c r="H79" s="6"/>
      <c r="I79" s="119" t="s">
        <v>92</v>
      </c>
      <c r="J79" s="119"/>
      <c r="K79" s="6"/>
      <c r="L79" s="6"/>
    </row>
    <row r="80" spans="1:12">
      <c r="A80" s="7" t="s">
        <v>100</v>
      </c>
      <c r="B80" s="115"/>
      <c r="C80" s="115"/>
      <c r="D80" s="112"/>
      <c r="E80" s="115"/>
      <c r="F80" s="115"/>
      <c r="G80" s="6"/>
      <c r="H80" s="6"/>
      <c r="I80" s="119"/>
      <c r="J80" s="119"/>
      <c r="K80" s="6"/>
      <c r="L80" s="6"/>
    </row>
    <row r="81" spans="1:12">
      <c r="A81" s="110" t="s">
        <v>101</v>
      </c>
      <c r="B81" s="110"/>
      <c r="C81" s="110"/>
      <c r="D81" s="113"/>
      <c r="E81" s="114"/>
      <c r="F81" s="114"/>
      <c r="G81" s="6"/>
      <c r="H81" s="6"/>
      <c r="I81" s="110"/>
      <c r="J81" s="110"/>
      <c r="K81" s="6"/>
      <c r="L81" s="6"/>
    </row>
    <row r="82" spans="1:12">
      <c r="A82" s="111" t="s">
        <v>90</v>
      </c>
      <c r="B82" s="111"/>
      <c r="C82" s="111"/>
      <c r="D82" s="112"/>
      <c r="E82" s="111" t="s">
        <v>91</v>
      </c>
      <c r="F82" s="111"/>
      <c r="G82" s="6"/>
      <c r="H82" s="6"/>
      <c r="I82" s="119" t="s">
        <v>92</v>
      </c>
      <c r="J82" s="119"/>
      <c r="K82" s="6"/>
      <c r="L82" s="6"/>
    </row>
    <row r="83" spans="1:12">
      <c r="A83" s="7" t="s">
        <v>102</v>
      </c>
      <c r="B83" s="115"/>
      <c r="C83" s="115"/>
      <c r="D83" s="112"/>
      <c r="E83" s="115"/>
      <c r="F83" s="115"/>
      <c r="G83" s="6"/>
      <c r="H83" s="6"/>
      <c r="I83" s="119"/>
      <c r="J83" s="119"/>
      <c r="K83" s="6"/>
      <c r="L83" s="6"/>
    </row>
    <row r="84" spans="1:12">
      <c r="A84" s="110" t="s">
        <v>103</v>
      </c>
      <c r="B84" s="110"/>
      <c r="C84" s="110"/>
      <c r="D84" s="113"/>
      <c r="E84" s="114"/>
      <c r="F84" s="114"/>
      <c r="G84" s="6"/>
      <c r="H84" s="6"/>
      <c r="I84" s="110" t="s">
        <v>104</v>
      </c>
      <c r="J84" s="110"/>
      <c r="K84" s="6"/>
      <c r="L84" s="6"/>
    </row>
    <row r="85" spans="1:12">
      <c r="A85" s="111" t="s">
        <v>90</v>
      </c>
      <c r="B85" s="111"/>
      <c r="C85" s="111"/>
      <c r="D85" s="112"/>
      <c r="E85" s="111" t="s">
        <v>91</v>
      </c>
      <c r="F85" s="111"/>
      <c r="G85" s="6"/>
      <c r="H85" s="6"/>
      <c r="I85" s="119" t="s">
        <v>92</v>
      </c>
      <c r="J85" s="119"/>
      <c r="K85" s="6"/>
      <c r="L85" s="6"/>
    </row>
    <row r="88" spans="1:1">
      <c r="A88" s="116"/>
    </row>
    <row r="89" spans="1:6">
      <c r="A89" s="117"/>
      <c r="B89" s="117"/>
      <c r="C89" s="117"/>
      <c r="D89" s="117"/>
      <c r="E89" s="117"/>
      <c r="F89" s="117"/>
    </row>
  </sheetData>
  <sheetProtection password="C6C9" sheet="1" objects="1" scenarios="1"/>
  <mergeCells count="178">
    <mergeCell ref="A1:K1"/>
    <mergeCell ref="E2:G2"/>
    <mergeCell ref="C3:D3"/>
    <mergeCell ref="G4:H4"/>
    <mergeCell ref="C5:K5"/>
    <mergeCell ref="C6:K6"/>
    <mergeCell ref="H7:I7"/>
    <mergeCell ref="A8:E8"/>
    <mergeCell ref="H8:I8"/>
    <mergeCell ref="A9:E9"/>
    <mergeCell ref="H9:I9"/>
    <mergeCell ref="A10:E10"/>
    <mergeCell ref="H10:I10"/>
    <mergeCell ref="A12:K12"/>
    <mergeCell ref="A13:K13"/>
    <mergeCell ref="I14:J14"/>
    <mergeCell ref="A19:K19"/>
    <mergeCell ref="B20:I20"/>
    <mergeCell ref="B21:C21"/>
    <mergeCell ref="D21:E21"/>
    <mergeCell ref="F21:G21"/>
    <mergeCell ref="H21:I21"/>
    <mergeCell ref="B24:C24"/>
    <mergeCell ref="D24:E24"/>
    <mergeCell ref="F24:G24"/>
    <mergeCell ref="H24:I24"/>
    <mergeCell ref="J28:K28"/>
    <mergeCell ref="J29:K29"/>
    <mergeCell ref="A31:K31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C34:D34"/>
    <mergeCell ref="E34:F34"/>
    <mergeCell ref="G34:H34"/>
    <mergeCell ref="I34:J34"/>
    <mergeCell ref="K34:L34"/>
    <mergeCell ref="C35:D35"/>
    <mergeCell ref="E35:F35"/>
    <mergeCell ref="G35:H35"/>
    <mergeCell ref="I35:J35"/>
    <mergeCell ref="K35:L35"/>
    <mergeCell ref="C36:D36"/>
    <mergeCell ref="E36:F36"/>
    <mergeCell ref="G36:H36"/>
    <mergeCell ref="I36:J36"/>
    <mergeCell ref="K36:L36"/>
    <mergeCell ref="C37:D37"/>
    <mergeCell ref="E37:F37"/>
    <mergeCell ref="G37:H37"/>
    <mergeCell ref="I37:J37"/>
    <mergeCell ref="K37:L37"/>
    <mergeCell ref="C38:D38"/>
    <mergeCell ref="E38:F38"/>
    <mergeCell ref="G38:H38"/>
    <mergeCell ref="I38:J38"/>
    <mergeCell ref="K38:L38"/>
    <mergeCell ref="C39:D39"/>
    <mergeCell ref="E39:F39"/>
    <mergeCell ref="G39:H39"/>
    <mergeCell ref="I39:J39"/>
    <mergeCell ref="K39:L39"/>
    <mergeCell ref="C40:D40"/>
    <mergeCell ref="E40:F40"/>
    <mergeCell ref="G40:H40"/>
    <mergeCell ref="I40:J40"/>
    <mergeCell ref="K40:L40"/>
    <mergeCell ref="C41:D41"/>
    <mergeCell ref="E41:F41"/>
    <mergeCell ref="G41:H41"/>
    <mergeCell ref="I41:J41"/>
    <mergeCell ref="K41:L41"/>
    <mergeCell ref="C42:D42"/>
    <mergeCell ref="E42:F42"/>
    <mergeCell ref="G42:H42"/>
    <mergeCell ref="I42:J42"/>
    <mergeCell ref="K42:L42"/>
    <mergeCell ref="C43:D43"/>
    <mergeCell ref="E43:F43"/>
    <mergeCell ref="G43:H43"/>
    <mergeCell ref="I43:J43"/>
    <mergeCell ref="K43:L43"/>
    <mergeCell ref="A44:J44"/>
    <mergeCell ref="A45:J45"/>
    <mergeCell ref="C46:D46"/>
    <mergeCell ref="E46:F46"/>
    <mergeCell ref="I46:J46"/>
    <mergeCell ref="K46:L46"/>
    <mergeCell ref="C47:D47"/>
    <mergeCell ref="E47:F47"/>
    <mergeCell ref="I47:J47"/>
    <mergeCell ref="K47:L47"/>
    <mergeCell ref="E48:F48"/>
    <mergeCell ref="E49:F49"/>
    <mergeCell ref="E50:F50"/>
    <mergeCell ref="A52:I52"/>
    <mergeCell ref="A53:G53"/>
    <mergeCell ref="A54:G54"/>
    <mergeCell ref="B55:C55"/>
    <mergeCell ref="F55:G55"/>
    <mergeCell ref="J55:K55"/>
    <mergeCell ref="B56:C56"/>
    <mergeCell ref="F56:G56"/>
    <mergeCell ref="J56:K56"/>
    <mergeCell ref="B57:C57"/>
    <mergeCell ref="F57:G57"/>
    <mergeCell ref="J57:K57"/>
    <mergeCell ref="A59:I59"/>
    <mergeCell ref="B60:C60"/>
    <mergeCell ref="D60:E60"/>
    <mergeCell ref="H60:I60"/>
    <mergeCell ref="B61:C61"/>
    <mergeCell ref="D61:E61"/>
    <mergeCell ref="H61:I61"/>
    <mergeCell ref="B62:C62"/>
    <mergeCell ref="D62:E62"/>
    <mergeCell ref="H62:I62"/>
    <mergeCell ref="A64:J64"/>
    <mergeCell ref="C65:K65"/>
    <mergeCell ref="A70:C70"/>
    <mergeCell ref="I70:J70"/>
    <mergeCell ref="A71:C71"/>
    <mergeCell ref="E71:F71"/>
    <mergeCell ref="I71:J71"/>
    <mergeCell ref="A72:C72"/>
    <mergeCell ref="I72:J72"/>
    <mergeCell ref="A73:C73"/>
    <mergeCell ref="E73:F73"/>
    <mergeCell ref="I73:J73"/>
    <mergeCell ref="A74:C74"/>
    <mergeCell ref="I74:J74"/>
    <mergeCell ref="A75:C75"/>
    <mergeCell ref="E75:F75"/>
    <mergeCell ref="I75:J75"/>
    <mergeCell ref="A76:C76"/>
    <mergeCell ref="I76:J76"/>
    <mergeCell ref="A77:C77"/>
    <mergeCell ref="E77:F77"/>
    <mergeCell ref="I77:J77"/>
    <mergeCell ref="A78:C78"/>
    <mergeCell ref="I78:J78"/>
    <mergeCell ref="A79:C79"/>
    <mergeCell ref="E79:F79"/>
    <mergeCell ref="I79:J79"/>
    <mergeCell ref="A81:C81"/>
    <mergeCell ref="I81:J81"/>
    <mergeCell ref="A82:C82"/>
    <mergeCell ref="E82:F82"/>
    <mergeCell ref="I82:J82"/>
    <mergeCell ref="A84:C84"/>
    <mergeCell ref="I84:J84"/>
    <mergeCell ref="A85:C85"/>
    <mergeCell ref="E85:F85"/>
    <mergeCell ref="I85:J85"/>
    <mergeCell ref="A20:A23"/>
    <mergeCell ref="A26:A27"/>
    <mergeCell ref="B26:B27"/>
    <mergeCell ref="B48:B50"/>
    <mergeCell ref="C26:C27"/>
    <mergeCell ref="D26:D27"/>
    <mergeCell ref="E26:E27"/>
    <mergeCell ref="F26:F27"/>
    <mergeCell ref="G26:G27"/>
    <mergeCell ref="G48:G50"/>
    <mergeCell ref="H26:H27"/>
    <mergeCell ref="H48:H50"/>
    <mergeCell ref="I26:I27"/>
    <mergeCell ref="J26:K27"/>
    <mergeCell ref="C48:D50"/>
    <mergeCell ref="I48:J50"/>
    <mergeCell ref="K48:L50"/>
  </mergeCells>
  <conditionalFormatting sqref="H9">
    <cfRule type="containsText" dxfId="0" priority="1" operator="between" text="Нет">
      <formula>NOT(ISERROR(SEARCH("Нет",H9)))</formula>
    </cfRule>
  </conditionalFormatting>
  <conditionalFormatting sqref="D29">
    <cfRule type="containsText" dxfId="1" priority="11" operator="between" text="ошибка">
      <formula>NOT(ISERROR(SEARCH("ошибка",D29)))</formula>
    </cfRule>
  </conditionalFormatting>
  <conditionalFormatting sqref="J29:K29">
    <cfRule type="cellIs" dxfId="2" priority="7" operator="equal">
      <formula>"Отрицательно"</formula>
    </cfRule>
  </conditionalFormatting>
  <conditionalFormatting sqref="J57:K57">
    <cfRule type="cellIs" dxfId="2" priority="4" operator="equal">
      <formula>"Отрицательно"</formula>
    </cfRule>
  </conditionalFormatting>
  <conditionalFormatting sqref="H62:I62">
    <cfRule type="cellIs" dxfId="2" priority="3" operator="equal">
      <formula>"Отрицательно"</formula>
    </cfRule>
  </conditionalFormatting>
  <conditionalFormatting sqref="H10;H8">
    <cfRule type="containsText" dxfId="0" priority="2" operator="between" text="Нет">
      <formula>NOT(ISERROR(SEARCH("Нет",H8)))</formula>
    </cfRule>
  </conditionalFormatting>
  <conditionalFormatting sqref="K34:L43">
    <cfRule type="cellIs" dxfId="2" priority="6" operator="equal">
      <formula>"Отрицательно"</formula>
    </cfRule>
  </conditionalFormatting>
  <conditionalFormatting sqref="K48:L50">
    <cfRule type="cellIs" dxfId="2" priority="5" operator="equal">
      <formula>"Отрицательно"</formula>
    </cfRule>
  </conditionalFormatting>
  <dataValidations count="3">
    <dataValidation type="list" allowBlank="1" showInputMessage="1" showErrorMessage="1" sqref="K4">
      <formula1>$M$11:$M$14</formula1>
    </dataValidation>
    <dataValidation type="list" allowBlank="1" showInputMessage="1" showErrorMessage="1" sqref="K14">
      <formula1>$M$1:$M$3</formula1>
    </dataValidation>
    <dataValidation type="list" allowBlank="1" showInputMessage="1" showErrorMessage="1" sqref="K15">
      <formula1>$M$4:$M$6</formula1>
    </dataValidation>
  </dataValidations>
  <pageMargins left="0.708661417322835" right="0.118110236220472" top="0.748031496062992" bottom="0.748031496062992" header="0.31496062992126" footer="0.31496062992126"/>
  <pageSetup paperSize="9" scale="51" fitToHeight="2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Протокол КМХ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Nikolas</cp:lastModifiedBy>
  <dcterms:created xsi:type="dcterms:W3CDTF">2015-06-05T18:19:00Z</dcterms:created>
  <dcterms:modified xsi:type="dcterms:W3CDTF">2025-12-08T08:54:07Z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FEF57421E92448DD8C9D35AB9A146A25_13</vt:lpwstr>
  </property>
  <property fmtid="{D5CDD505-2E9C-101B-9397-08002B2CF9AE}" pid="3" name="KSOProductBuildVer">
    <vt:lpwstr>2057-12.2.0.23149</vt:lpwstr>
  </property>
</Properties>
</file>